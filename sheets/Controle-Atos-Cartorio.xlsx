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Protocolos" sheetId="2" state="visible" r:id="rId2"/>
    <sheet name="Checklist" sheetId="3" state="visible" r:id="rId3"/>
    <sheet name="Painel" sheetId="4" state="visible" r:id="rId4"/>
    <sheet name="Listas" sheetId="5" state="visible" r:id="rId5"/>
  </sheets>
  <definedNames>
    <definedName name="Lista_Tipos">Listas!$A$2:$A$100</definedName>
    <definedName name="Lista_Fases">Listas!$D$2:$D$100</definedName>
    <definedName name="Lista_Responsaveis">Listas!$I$2:$I$50</definedName>
    <definedName name="Lista_Canais">Listas!$K$2:$K$20</definedName>
    <definedName name="Lista_PFPJ">Listas!$M$2:$M$5</definedName>
    <definedName name="Feriados">Listas!$O$2:$O$200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sz val="10"/>
    </font>
    <font>
      <b val="1"/>
      <color rgb="001F3864"/>
      <sz val="11"/>
    </font>
    <font>
      <b val="1"/>
      <color rgb="00FFFFFF"/>
      <sz val="10"/>
    </font>
    <font>
      <b val="1"/>
      <color rgb="001F3864"/>
      <sz val="12"/>
    </font>
    <font>
      <b val="1"/>
      <color rgb="00C00000"/>
      <sz val="11"/>
    </font>
    <font>
      <b val="1"/>
      <sz val="10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9" fontId="0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4" fontId="3" fillId="0" borderId="0" pivotButton="0" quotePrefix="0" xfId="0"/>
  </cellXfs>
  <cellStyles count="1">
    <cellStyle name="Normal" xfId="0" builtinId="0" hidden="0"/>
  </cellStyles>
  <dxfs count="11">
    <dxf>
      <font>
        <color rgb="009C9C9C"/>
        <sz val="10"/>
      </font>
      <fill>
        <patternFill patternType="solid">
          <bgColor rgb="00EFEFEF"/>
        </patternFill>
      </fill>
    </dxf>
    <dxf>
      <font>
        <b val="1"/>
        <color rgb="00FFFFFF"/>
        <sz val="10"/>
      </font>
      <fill>
        <patternFill patternType="solid">
          <bgColor rgb="00C00000"/>
        </patternFill>
      </fill>
    </dxf>
    <dxf>
      <font>
        <color rgb="009C0006"/>
        <sz val="10"/>
      </font>
      <fill>
        <patternFill patternType="solid">
          <bgColor rgb="00FFC7CE"/>
        </patternFill>
      </fill>
    </dxf>
    <dxf>
      <font>
        <color rgb="009C6500"/>
        <sz val="10"/>
      </font>
      <fill>
        <patternFill patternType="solid">
          <bgColor rgb="00FFEB9C"/>
        </patternFill>
      </fill>
    </dxf>
    <dxf>
      <font>
        <color rgb="00006100"/>
        <sz val="10"/>
      </font>
      <fill>
        <patternFill patternType="solid">
          <bgColor rgb="00C6EFCE"/>
        </patternFill>
      </fill>
    </dxf>
    <dxf>
      <font>
        <b val="1"/>
        <color rgb="00BF8F00"/>
        <sz val="10"/>
      </font>
    </dxf>
    <dxf>
      <font>
        <b val="1"/>
        <color rgb="009C0006"/>
        <sz val="10"/>
      </font>
      <fill>
        <patternFill patternType="solid">
          <bgColor rgb="00FF9999"/>
        </patternFill>
      </fill>
    </dxf>
    <dxf>
      <fill>
        <patternFill patternType="solid">
          <bgColor rgb="00DDEBF7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E4DFEC"/>
        </patternFill>
      </fill>
    </dxf>
    <dxf>
      <font>
        <color rgb="0080808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105" customWidth="1" min="2" max="2"/>
  </cols>
  <sheetData>
    <row r="1" ht="26" customHeight="1">
      <c r="B1" s="1" t="inlineStr">
        <is>
          <t>Controle de Atos — Procurações e Escrituras</t>
        </is>
      </c>
    </row>
    <row r="2">
      <c r="B2" s="2" t="inlineStr">
        <is>
          <t>Planilha 100% nativa do Google Sheets. Não usa Apps Script.</t>
        </is>
      </c>
    </row>
    <row r="3">
      <c r="B3" s="3" t="inlineStr"/>
    </row>
    <row r="4" ht="20" customHeight="1">
      <c r="B4" s="4" t="inlineStr">
        <is>
          <t>Rotina diária</t>
        </is>
      </c>
    </row>
    <row r="5">
      <c r="B5" s="3" t="inlineStr">
        <is>
          <t>1. Abra a sua Visualização de Filtro: menu Dados › Visualizações de filtro › "Minhas — &lt;seu nome&gt;".</t>
        </is>
      </c>
    </row>
    <row r="6">
      <c r="B6" s="3" t="inlineStr">
        <is>
          <t>2. Ato novo: preencha uma linha na aba PROTOCOLOS. O ID é obrigatório; o Nº DRD entra depois, quando sair.</t>
        </is>
      </c>
    </row>
    <row r="7">
      <c r="B7" s="3" t="inlineStr">
        <is>
          <t>3. Documentos: copie o bloco do tipo de ato na aba LISTAS (colunas R e S), cole no fim da aba CHECKLIST e preencha o ID.</t>
        </is>
      </c>
    </row>
    <row r="8">
      <c r="B8" s="3" t="inlineStr">
        <is>
          <t>4. Ao mexer em um protocolo, atualize "Última atualização" (Ctrl+;) e "Atualizado por".</t>
        </is>
      </c>
    </row>
    <row r="9">
      <c r="B9" s="3" t="inlineStr">
        <is>
          <t>5. Para registrar andamento em texto, use Comentário nativo na linha (Ctrl+Alt+M) — ele grava autor e data/hora sozinho.</t>
        </is>
      </c>
    </row>
    <row r="10">
      <c r="B10" s="3" t="inlineStr"/>
    </row>
    <row r="11" ht="20" customHeight="1">
      <c r="B11" s="4" t="inlineStr">
        <is>
          <t>Regras do setor</t>
        </is>
      </c>
    </row>
    <row r="12">
      <c r="B12" s="3" t="inlineStr">
        <is>
          <t>Prazo: 5 dias úteis contados da data em que a documentação ficou completa. Sem exceção por tipo de ato.</t>
        </is>
      </c>
    </row>
    <row r="13">
      <c r="B13" s="3" t="inlineStr">
        <is>
          <t>O prazo só aparece depois de preenchida a coluna "Data doc. completa".</t>
        </is>
      </c>
    </row>
    <row r="14">
      <c r="B14" s="3" t="inlineStr">
        <is>
          <t>Marcar "Doc. completa?" é decisão de quem confere — o checklist NÃO marca isso sozinho.</t>
        </is>
      </c>
    </row>
    <row r="15">
      <c r="B15" s="3" t="inlineStr">
        <is>
          <t>"Finalizado" exige rascunho digitalizado. A planilha destaca em vermelho, mas não bloqueia.</t>
        </is>
      </c>
    </row>
    <row r="16">
      <c r="B16" s="3" t="inlineStr">
        <is>
          <t>Nada é excluído: marque "Arquivado?" em vez de apagar a linha.</t>
        </is>
      </c>
    </row>
    <row r="17">
      <c r="B17" s="3" t="inlineStr"/>
    </row>
    <row r="18" ht="20" customHeight="1">
      <c r="B18" s="4" t="inlineStr">
        <is>
          <t>Colunas cinzas são calculadas</t>
        </is>
      </c>
    </row>
    <row r="19">
      <c r="B19" s="3" t="inlineStr">
        <is>
          <t>Categoria, Prazo, Dias úteis restantes, Situação e % Checklist saem de fórmula. Não digite nelas.</t>
        </is>
      </c>
    </row>
    <row r="20">
      <c r="B20" s="3" t="inlineStr"/>
    </row>
    <row r="21" ht="20" customHeight="1">
      <c r="B21" s="4" t="inlineStr">
        <is>
          <t>Atenção antes do uso real</t>
        </is>
      </c>
    </row>
    <row r="22">
      <c r="B22" s="3" t="inlineStr">
        <is>
          <t>Confira a aba LISTAS, coluna O: os feriados marcados (CONFERIR) e os feriados estaduais e municipais</t>
        </is>
      </c>
    </row>
    <row r="23">
      <c r="B23" s="3" t="inlineStr">
        <is>
          <t>ainda precisam ser validados. O prazo de 5 dias úteis depende inteiramente dessa lista.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8" customWidth="1" min="5" max="5"/>
    <col width="15" customWidth="1" min="6" max="6"/>
    <col width="24" customWidth="1" min="7" max="7"/>
    <col width="30" customWidth="1" min="8" max="8"/>
    <col width="28" customWidth="1" min="9" max="9"/>
    <col width="14" customWidth="1" min="10" max="10"/>
    <col width="11" customWidth="1" min="11" max="11"/>
    <col width="18" customWidth="1" min="12" max="12"/>
    <col width="12" customWidth="1" min="13" max="13"/>
    <col width="15" customWidth="1" min="14" max="14"/>
    <col width="12" customWidth="1" min="15" max="15"/>
    <col width="12" customWidth="1" min="16" max="16"/>
    <col width="13" customWidth="1" min="17" max="17"/>
    <col width="26" customWidth="1" min="18" max="18"/>
    <col width="11" customWidth="1" min="19" max="19"/>
    <col width="15" customWidth="1" min="20" max="20"/>
    <col width="11" customWidth="1" min="21" max="21"/>
    <col width="15" customWidth="1" min="22" max="22"/>
    <col width="16" customWidth="1" min="23" max="23"/>
    <col width="40" customWidth="1" min="24" max="24"/>
    <col width="10" customWidth="1" min="25" max="25"/>
    <col width="13" customWidth="1" min="26" max="26"/>
  </cols>
  <sheetData>
    <row r="1" ht="32" customHeight="1">
      <c r="A1" s="5" t="inlineStr">
        <is>
          <t>ID</t>
        </is>
      </c>
      <c r="B1" s="5" t="inlineStr">
        <is>
          <t>Nº DRD</t>
        </is>
      </c>
      <c r="C1" s="5" t="inlineStr">
        <is>
          <t>Data do protocolo</t>
        </is>
      </c>
      <c r="D1" s="5" t="inlineStr">
        <is>
          <t>Cliente</t>
        </is>
      </c>
      <c r="E1" s="5" t="inlineStr">
        <is>
          <t>PF/PJ</t>
        </is>
      </c>
      <c r="F1" s="5" t="inlineStr">
        <is>
          <t>Telefone</t>
        </is>
      </c>
      <c r="G1" s="5" t="inlineStr">
        <is>
          <t>E-mail</t>
        </is>
      </c>
      <c r="H1" s="5" t="inlineStr">
        <is>
          <t>Outorgados</t>
        </is>
      </c>
      <c r="I1" s="5" t="inlineStr">
        <is>
          <t>Tipo de ato</t>
        </is>
      </c>
      <c r="J1" s="5" t="inlineStr">
        <is>
          <t>Categoria</t>
        </is>
      </c>
      <c r="K1" s="5" t="inlineStr">
        <is>
          <t>Canal</t>
        </is>
      </c>
      <c r="L1" s="5" t="inlineStr">
        <is>
          <t>Responsável</t>
        </is>
      </c>
      <c r="M1" s="5" t="inlineStr">
        <is>
          <t>Doc. completa?</t>
        </is>
      </c>
      <c r="N1" s="5" t="inlineStr">
        <is>
          <t>Data doc. completa</t>
        </is>
      </c>
      <c r="O1" s="5" t="inlineStr">
        <is>
          <t>Prazo</t>
        </is>
      </c>
      <c r="P1" s="5" t="inlineStr">
        <is>
          <t>Dias úteis restantes</t>
        </is>
      </c>
      <c r="Q1" s="5" t="inlineStr">
        <is>
          <t>Situação</t>
        </is>
      </c>
      <c r="R1" s="5" t="inlineStr">
        <is>
          <t>Fase</t>
        </is>
      </c>
      <c r="S1" s="5" t="inlineStr">
        <is>
          <t>Digitalizado?</t>
        </is>
      </c>
      <c r="T1" s="5" t="inlineStr">
        <is>
          <t>Data digitalização</t>
        </is>
      </c>
      <c r="U1" s="5" t="inlineStr">
        <is>
          <t>% Checklist</t>
        </is>
      </c>
      <c r="V1" s="5" t="inlineStr">
        <is>
          <t>Última atualização</t>
        </is>
      </c>
      <c r="W1" s="5" t="inlineStr">
        <is>
          <t>Atualizado por</t>
        </is>
      </c>
      <c r="X1" s="5" t="inlineStr">
        <is>
          <t>Observações</t>
        </is>
      </c>
      <c r="Y1" s="5" t="inlineStr">
        <is>
          <t>Arquivado?</t>
        </is>
      </c>
      <c r="Z1" s="5" t="inlineStr">
        <is>
          <t>Criado em</t>
        </is>
      </c>
    </row>
    <row r="2">
      <c r="C2" s="6" t="n"/>
      <c r="E2" s="7" t="n"/>
      <c r="J2" s="8">
        <f>IF($I2="","",IFERROR(VLOOKUP($I2,Listas!$A$2:$B$100,2,FALSE),"—"))</f>
        <v/>
      </c>
      <c r="M2" s="7" t="b">
        <v>0</v>
      </c>
      <c r="N2" s="6" t="n"/>
      <c r="O2" s="9">
        <f>IF($N2="","",WORKDAY($N2,5,Listas!$O$2:$O$200))</f>
        <v/>
      </c>
      <c r="P2" s="10">
        <f>IF($O2="","",IF($O2&gt;=TODAY(),NETWORKDAYS(TODAY(),$O2,Listas!$O$2:$O$200)-1,NETWORKDAYS(TODAY(),$O2,Listas!$O$2:$O$200)+1))</f>
        <v/>
      </c>
      <c r="Q2" s="11">
        <f>IF($O2="","",IF($R2="Finalizado","Concluído",IF($R2="Usuário desistiu","Encerrado",IF($P2&lt;0,"Atrasado",IF($P2=0,"Vence hoje","No prazo")))))</f>
        <v/>
      </c>
      <c r="S2" s="7" t="b">
        <v>0</v>
      </c>
      <c r="T2" s="6" t="n"/>
      <c r="U2" s="12">
        <f>IF(COUNTIF(Checklist!$A$2:$A$3000,$A2)=0,"",COUNTIFS(Checklist!$A$2:$A$3000,$A2,Checklist!$C$2:$C$3000,TRUE)/COUNTIF(Checklist!$A$2:$A$3000,$A2))</f>
        <v/>
      </c>
      <c r="V2" s="6" t="n"/>
      <c r="Y2" s="7" t="b">
        <v>0</v>
      </c>
      <c r="Z2" s="6" t="n"/>
    </row>
    <row r="3">
      <c r="C3" s="6" t="n"/>
      <c r="E3" s="7" t="n"/>
      <c r="J3" s="8">
        <f>IF($I3="","",IFERROR(VLOOKUP($I3,Listas!$A$2:$B$100,2,FALSE),"—"))</f>
        <v/>
      </c>
      <c r="M3" s="7" t="b">
        <v>0</v>
      </c>
      <c r="N3" s="6" t="n"/>
      <c r="O3" s="9">
        <f>IF($N3="","",WORKDAY($N3,5,Listas!$O$2:$O$200))</f>
        <v/>
      </c>
      <c r="P3" s="10">
        <f>IF($O3="","",IF($O3&gt;=TODAY(),NETWORKDAYS(TODAY(),$O3,Listas!$O$2:$O$200)-1,NETWORKDAYS(TODAY(),$O3,Listas!$O$2:$O$200)+1))</f>
        <v/>
      </c>
      <c r="Q3" s="11">
        <f>IF($O3="","",IF($R3="Finalizado","Concluído",IF($R3="Usuário desistiu","Encerrado",IF($P3&lt;0,"Atrasado",IF($P3=0,"Vence hoje","No prazo")))))</f>
        <v/>
      </c>
      <c r="S3" s="7" t="b">
        <v>0</v>
      </c>
      <c r="T3" s="6" t="n"/>
      <c r="U3" s="12">
        <f>IF(COUNTIF(Checklist!$A$2:$A$3000,$A3)=0,"",COUNTIFS(Checklist!$A$2:$A$3000,$A3,Checklist!$C$2:$C$3000,TRUE)/COUNTIF(Checklist!$A$2:$A$3000,$A3))</f>
        <v/>
      </c>
      <c r="V3" s="6" t="n"/>
      <c r="Y3" s="7" t="b">
        <v>0</v>
      </c>
      <c r="Z3" s="6" t="n"/>
    </row>
    <row r="4">
      <c r="C4" s="6" t="n"/>
      <c r="E4" s="7" t="n"/>
      <c r="J4" s="8">
        <f>IF($I4="","",IFERROR(VLOOKUP($I4,Listas!$A$2:$B$100,2,FALSE),"—"))</f>
        <v/>
      </c>
      <c r="M4" s="7" t="b">
        <v>0</v>
      </c>
      <c r="N4" s="6" t="n"/>
      <c r="O4" s="9">
        <f>IF($N4="","",WORKDAY($N4,5,Listas!$O$2:$O$200))</f>
        <v/>
      </c>
      <c r="P4" s="10">
        <f>IF($O4="","",IF($O4&gt;=TODAY(),NETWORKDAYS(TODAY(),$O4,Listas!$O$2:$O$200)-1,NETWORKDAYS(TODAY(),$O4,Listas!$O$2:$O$200)+1))</f>
        <v/>
      </c>
      <c r="Q4" s="11">
        <f>IF($O4="","",IF($R4="Finalizado","Concluído",IF($R4="Usuário desistiu","Encerrado",IF($P4&lt;0,"Atrasado",IF($P4=0,"Vence hoje","No prazo")))))</f>
        <v/>
      </c>
      <c r="S4" s="7" t="b">
        <v>0</v>
      </c>
      <c r="T4" s="6" t="n"/>
      <c r="U4" s="12">
        <f>IF(COUNTIF(Checklist!$A$2:$A$3000,$A4)=0,"",COUNTIFS(Checklist!$A$2:$A$3000,$A4,Checklist!$C$2:$C$3000,TRUE)/COUNTIF(Checklist!$A$2:$A$3000,$A4))</f>
        <v/>
      </c>
      <c r="V4" s="6" t="n"/>
      <c r="Y4" s="7" t="b">
        <v>0</v>
      </c>
      <c r="Z4" s="6" t="n"/>
    </row>
    <row r="5">
      <c r="C5" s="6" t="n"/>
      <c r="E5" s="7" t="n"/>
      <c r="J5" s="8">
        <f>IF($I5="","",IFERROR(VLOOKUP($I5,Listas!$A$2:$B$100,2,FALSE),"—"))</f>
        <v/>
      </c>
      <c r="M5" s="7" t="b">
        <v>0</v>
      </c>
      <c r="N5" s="6" t="n"/>
      <c r="O5" s="9">
        <f>IF($N5="","",WORKDAY($N5,5,Listas!$O$2:$O$200))</f>
        <v/>
      </c>
      <c r="P5" s="10">
        <f>IF($O5="","",IF($O5&gt;=TODAY(),NETWORKDAYS(TODAY(),$O5,Listas!$O$2:$O$200)-1,NETWORKDAYS(TODAY(),$O5,Listas!$O$2:$O$200)+1))</f>
        <v/>
      </c>
      <c r="Q5" s="11">
        <f>IF($O5="","",IF($R5="Finalizado","Concluído",IF($R5="Usuário desistiu","Encerrado",IF($P5&lt;0,"Atrasado",IF($P5=0,"Vence hoje","No prazo")))))</f>
        <v/>
      </c>
      <c r="S5" s="7" t="b">
        <v>0</v>
      </c>
      <c r="T5" s="6" t="n"/>
      <c r="U5" s="12">
        <f>IF(COUNTIF(Checklist!$A$2:$A$3000,$A5)=0,"",COUNTIFS(Checklist!$A$2:$A$3000,$A5,Checklist!$C$2:$C$3000,TRUE)/COUNTIF(Checklist!$A$2:$A$3000,$A5))</f>
        <v/>
      </c>
      <c r="V5" s="6" t="n"/>
      <c r="Y5" s="7" t="b">
        <v>0</v>
      </c>
      <c r="Z5" s="6" t="n"/>
    </row>
    <row r="6">
      <c r="C6" s="6" t="n"/>
      <c r="E6" s="7" t="n"/>
      <c r="J6" s="8">
        <f>IF($I6="","",IFERROR(VLOOKUP($I6,Listas!$A$2:$B$100,2,FALSE),"—"))</f>
        <v/>
      </c>
      <c r="M6" s="7" t="b">
        <v>0</v>
      </c>
      <c r="N6" s="6" t="n"/>
      <c r="O6" s="9">
        <f>IF($N6="","",WORKDAY($N6,5,Listas!$O$2:$O$200))</f>
        <v/>
      </c>
      <c r="P6" s="10">
        <f>IF($O6="","",IF($O6&gt;=TODAY(),NETWORKDAYS(TODAY(),$O6,Listas!$O$2:$O$200)-1,NETWORKDAYS(TODAY(),$O6,Listas!$O$2:$O$200)+1))</f>
        <v/>
      </c>
      <c r="Q6" s="11">
        <f>IF($O6="","",IF($R6="Finalizado","Concluído",IF($R6="Usuário desistiu","Encerrado",IF($P6&lt;0,"Atrasado",IF($P6=0,"Vence hoje","No prazo")))))</f>
        <v/>
      </c>
      <c r="S6" s="7" t="b">
        <v>0</v>
      </c>
      <c r="T6" s="6" t="n"/>
      <c r="U6" s="12">
        <f>IF(COUNTIF(Checklist!$A$2:$A$3000,$A6)=0,"",COUNTIFS(Checklist!$A$2:$A$3000,$A6,Checklist!$C$2:$C$3000,TRUE)/COUNTIF(Checklist!$A$2:$A$3000,$A6))</f>
        <v/>
      </c>
      <c r="V6" s="6" t="n"/>
      <c r="Y6" s="7" t="b">
        <v>0</v>
      </c>
      <c r="Z6" s="6" t="n"/>
    </row>
    <row r="7">
      <c r="C7" s="6" t="n"/>
      <c r="E7" s="7" t="n"/>
      <c r="J7" s="8">
        <f>IF($I7="","",IFERROR(VLOOKUP($I7,Listas!$A$2:$B$100,2,FALSE),"—"))</f>
        <v/>
      </c>
      <c r="M7" s="7" t="b">
        <v>0</v>
      </c>
      <c r="N7" s="6" t="n"/>
      <c r="O7" s="9">
        <f>IF($N7="","",WORKDAY($N7,5,Listas!$O$2:$O$200))</f>
        <v/>
      </c>
      <c r="P7" s="10">
        <f>IF($O7="","",IF($O7&gt;=TODAY(),NETWORKDAYS(TODAY(),$O7,Listas!$O$2:$O$200)-1,NETWORKDAYS(TODAY(),$O7,Listas!$O$2:$O$200)+1))</f>
        <v/>
      </c>
      <c r="Q7" s="11">
        <f>IF($O7="","",IF($R7="Finalizado","Concluído",IF($R7="Usuário desistiu","Encerrado",IF($P7&lt;0,"Atrasado",IF($P7=0,"Vence hoje","No prazo")))))</f>
        <v/>
      </c>
      <c r="S7" s="7" t="b">
        <v>0</v>
      </c>
      <c r="T7" s="6" t="n"/>
      <c r="U7" s="12">
        <f>IF(COUNTIF(Checklist!$A$2:$A$3000,$A7)=0,"",COUNTIFS(Checklist!$A$2:$A$3000,$A7,Checklist!$C$2:$C$3000,TRUE)/COUNTIF(Checklist!$A$2:$A$3000,$A7))</f>
        <v/>
      </c>
      <c r="V7" s="6" t="n"/>
      <c r="Y7" s="7" t="b">
        <v>0</v>
      </c>
      <c r="Z7" s="6" t="n"/>
    </row>
    <row r="8">
      <c r="C8" s="6" t="n"/>
      <c r="E8" s="7" t="n"/>
      <c r="J8" s="8">
        <f>IF($I8="","",IFERROR(VLOOKUP($I8,Listas!$A$2:$B$100,2,FALSE),"—"))</f>
        <v/>
      </c>
      <c r="M8" s="7" t="b">
        <v>0</v>
      </c>
      <c r="N8" s="6" t="n"/>
      <c r="O8" s="9">
        <f>IF($N8="","",WORKDAY($N8,5,Listas!$O$2:$O$200))</f>
        <v/>
      </c>
      <c r="P8" s="10">
        <f>IF($O8="","",IF($O8&gt;=TODAY(),NETWORKDAYS(TODAY(),$O8,Listas!$O$2:$O$200)-1,NETWORKDAYS(TODAY(),$O8,Listas!$O$2:$O$200)+1))</f>
        <v/>
      </c>
      <c r="Q8" s="11">
        <f>IF($O8="","",IF($R8="Finalizado","Concluído",IF($R8="Usuário desistiu","Encerrado",IF($P8&lt;0,"Atrasado",IF($P8=0,"Vence hoje","No prazo")))))</f>
        <v/>
      </c>
      <c r="S8" s="7" t="b">
        <v>0</v>
      </c>
      <c r="T8" s="6" t="n"/>
      <c r="U8" s="12">
        <f>IF(COUNTIF(Checklist!$A$2:$A$3000,$A8)=0,"",COUNTIFS(Checklist!$A$2:$A$3000,$A8,Checklist!$C$2:$C$3000,TRUE)/COUNTIF(Checklist!$A$2:$A$3000,$A8))</f>
        <v/>
      </c>
      <c r="V8" s="6" t="n"/>
      <c r="Y8" s="7" t="b">
        <v>0</v>
      </c>
      <c r="Z8" s="6" t="n"/>
    </row>
    <row r="9">
      <c r="C9" s="6" t="n"/>
      <c r="E9" s="7" t="n"/>
      <c r="J9" s="8">
        <f>IF($I9="","",IFERROR(VLOOKUP($I9,Listas!$A$2:$B$100,2,FALSE),"—"))</f>
        <v/>
      </c>
      <c r="M9" s="7" t="b">
        <v>0</v>
      </c>
      <c r="N9" s="6" t="n"/>
      <c r="O9" s="9">
        <f>IF($N9="","",WORKDAY($N9,5,Listas!$O$2:$O$200))</f>
        <v/>
      </c>
      <c r="P9" s="10">
        <f>IF($O9="","",IF($O9&gt;=TODAY(),NETWORKDAYS(TODAY(),$O9,Listas!$O$2:$O$200)-1,NETWORKDAYS(TODAY(),$O9,Listas!$O$2:$O$200)+1))</f>
        <v/>
      </c>
      <c r="Q9" s="11">
        <f>IF($O9="","",IF($R9="Finalizado","Concluído",IF($R9="Usuário desistiu","Encerrado",IF($P9&lt;0,"Atrasado",IF($P9=0,"Vence hoje","No prazo")))))</f>
        <v/>
      </c>
      <c r="S9" s="7" t="b">
        <v>0</v>
      </c>
      <c r="T9" s="6" t="n"/>
      <c r="U9" s="12">
        <f>IF(COUNTIF(Checklist!$A$2:$A$3000,$A9)=0,"",COUNTIFS(Checklist!$A$2:$A$3000,$A9,Checklist!$C$2:$C$3000,TRUE)/COUNTIF(Checklist!$A$2:$A$3000,$A9))</f>
        <v/>
      </c>
      <c r="V9" s="6" t="n"/>
      <c r="Y9" s="7" t="b">
        <v>0</v>
      </c>
      <c r="Z9" s="6" t="n"/>
    </row>
    <row r="10">
      <c r="C10" s="6" t="n"/>
      <c r="E10" s="7" t="n"/>
      <c r="J10" s="8">
        <f>IF($I10="","",IFERROR(VLOOKUP($I10,Listas!$A$2:$B$100,2,FALSE),"—"))</f>
        <v/>
      </c>
      <c r="M10" s="7" t="b">
        <v>0</v>
      </c>
      <c r="N10" s="6" t="n"/>
      <c r="O10" s="9">
        <f>IF($N10="","",WORKDAY($N10,5,Listas!$O$2:$O$200))</f>
        <v/>
      </c>
      <c r="P10" s="10">
        <f>IF($O10="","",IF($O10&gt;=TODAY(),NETWORKDAYS(TODAY(),$O10,Listas!$O$2:$O$200)-1,NETWORKDAYS(TODAY(),$O10,Listas!$O$2:$O$200)+1))</f>
        <v/>
      </c>
      <c r="Q10" s="11">
        <f>IF($O10="","",IF($R10="Finalizado","Concluído",IF($R10="Usuário desistiu","Encerrado",IF($P10&lt;0,"Atrasado",IF($P10=0,"Vence hoje","No prazo")))))</f>
        <v/>
      </c>
      <c r="S10" s="7" t="b">
        <v>0</v>
      </c>
      <c r="T10" s="6" t="n"/>
      <c r="U10" s="12">
        <f>IF(COUNTIF(Checklist!$A$2:$A$3000,$A10)=0,"",COUNTIFS(Checklist!$A$2:$A$3000,$A10,Checklist!$C$2:$C$3000,TRUE)/COUNTIF(Checklist!$A$2:$A$3000,$A10))</f>
        <v/>
      </c>
      <c r="V10" s="6" t="n"/>
      <c r="Y10" s="7" t="b">
        <v>0</v>
      </c>
      <c r="Z10" s="6" t="n"/>
    </row>
    <row r="11">
      <c r="C11" s="6" t="n"/>
      <c r="E11" s="7" t="n"/>
      <c r="J11" s="8">
        <f>IF($I11="","",IFERROR(VLOOKUP($I11,Listas!$A$2:$B$100,2,FALSE),"—"))</f>
        <v/>
      </c>
      <c r="M11" s="7" t="b">
        <v>0</v>
      </c>
      <c r="N11" s="6" t="n"/>
      <c r="O11" s="9">
        <f>IF($N11="","",WORKDAY($N11,5,Listas!$O$2:$O$200))</f>
        <v/>
      </c>
      <c r="P11" s="10">
        <f>IF($O11="","",IF($O11&gt;=TODAY(),NETWORKDAYS(TODAY(),$O11,Listas!$O$2:$O$200)-1,NETWORKDAYS(TODAY(),$O11,Listas!$O$2:$O$200)+1))</f>
        <v/>
      </c>
      <c r="Q11" s="11">
        <f>IF($O11="","",IF($R11="Finalizado","Concluído",IF($R11="Usuário desistiu","Encerrado",IF($P11&lt;0,"Atrasado",IF($P11=0,"Vence hoje","No prazo")))))</f>
        <v/>
      </c>
      <c r="S11" s="7" t="b">
        <v>0</v>
      </c>
      <c r="T11" s="6" t="n"/>
      <c r="U11" s="12">
        <f>IF(COUNTIF(Checklist!$A$2:$A$3000,$A11)=0,"",COUNTIFS(Checklist!$A$2:$A$3000,$A11,Checklist!$C$2:$C$3000,TRUE)/COUNTIF(Checklist!$A$2:$A$3000,$A11))</f>
        <v/>
      </c>
      <c r="V11" s="6" t="n"/>
      <c r="Y11" s="7" t="b">
        <v>0</v>
      </c>
      <c r="Z11" s="6" t="n"/>
    </row>
    <row r="12">
      <c r="C12" s="6" t="n"/>
      <c r="E12" s="7" t="n"/>
      <c r="J12" s="8">
        <f>IF($I12="","",IFERROR(VLOOKUP($I12,Listas!$A$2:$B$100,2,FALSE),"—"))</f>
        <v/>
      </c>
      <c r="M12" s="7" t="b">
        <v>0</v>
      </c>
      <c r="N12" s="6" t="n"/>
      <c r="O12" s="9">
        <f>IF($N12="","",WORKDAY($N12,5,Listas!$O$2:$O$200))</f>
        <v/>
      </c>
      <c r="P12" s="10">
        <f>IF($O12="","",IF($O12&gt;=TODAY(),NETWORKDAYS(TODAY(),$O12,Listas!$O$2:$O$200)-1,NETWORKDAYS(TODAY(),$O12,Listas!$O$2:$O$200)+1))</f>
        <v/>
      </c>
      <c r="Q12" s="11">
        <f>IF($O12="","",IF($R12="Finalizado","Concluído",IF($R12="Usuário desistiu","Encerrado",IF($P12&lt;0,"Atrasado",IF($P12=0,"Vence hoje","No prazo")))))</f>
        <v/>
      </c>
      <c r="S12" s="7" t="b">
        <v>0</v>
      </c>
      <c r="T12" s="6" t="n"/>
      <c r="U12" s="12">
        <f>IF(COUNTIF(Checklist!$A$2:$A$3000,$A12)=0,"",COUNTIFS(Checklist!$A$2:$A$3000,$A12,Checklist!$C$2:$C$3000,TRUE)/COUNTIF(Checklist!$A$2:$A$3000,$A12))</f>
        <v/>
      </c>
      <c r="V12" s="6" t="n"/>
      <c r="Y12" s="7" t="b">
        <v>0</v>
      </c>
      <c r="Z12" s="6" t="n"/>
    </row>
    <row r="13">
      <c r="C13" s="6" t="n"/>
      <c r="E13" s="7" t="n"/>
      <c r="J13" s="8">
        <f>IF($I13="","",IFERROR(VLOOKUP($I13,Listas!$A$2:$B$100,2,FALSE),"—"))</f>
        <v/>
      </c>
      <c r="M13" s="7" t="b">
        <v>0</v>
      </c>
      <c r="N13" s="6" t="n"/>
      <c r="O13" s="9">
        <f>IF($N13="","",WORKDAY($N13,5,Listas!$O$2:$O$200))</f>
        <v/>
      </c>
      <c r="P13" s="10">
        <f>IF($O13="","",IF($O13&gt;=TODAY(),NETWORKDAYS(TODAY(),$O13,Listas!$O$2:$O$200)-1,NETWORKDAYS(TODAY(),$O13,Listas!$O$2:$O$200)+1))</f>
        <v/>
      </c>
      <c r="Q13" s="11">
        <f>IF($O13="","",IF($R13="Finalizado","Concluído",IF($R13="Usuário desistiu","Encerrado",IF($P13&lt;0,"Atrasado",IF($P13=0,"Vence hoje","No prazo")))))</f>
        <v/>
      </c>
      <c r="S13" s="7" t="b">
        <v>0</v>
      </c>
      <c r="T13" s="6" t="n"/>
      <c r="U13" s="12">
        <f>IF(COUNTIF(Checklist!$A$2:$A$3000,$A13)=0,"",COUNTIFS(Checklist!$A$2:$A$3000,$A13,Checklist!$C$2:$C$3000,TRUE)/COUNTIF(Checklist!$A$2:$A$3000,$A13))</f>
        <v/>
      </c>
      <c r="V13" s="6" t="n"/>
      <c r="Y13" s="7" t="b">
        <v>0</v>
      </c>
      <c r="Z13" s="6" t="n"/>
    </row>
    <row r="14">
      <c r="C14" s="6" t="n"/>
      <c r="E14" s="7" t="n"/>
      <c r="J14" s="8">
        <f>IF($I14="","",IFERROR(VLOOKUP($I14,Listas!$A$2:$B$100,2,FALSE),"—"))</f>
        <v/>
      </c>
      <c r="M14" s="7" t="b">
        <v>0</v>
      </c>
      <c r="N14" s="6" t="n"/>
      <c r="O14" s="9">
        <f>IF($N14="","",WORKDAY($N14,5,Listas!$O$2:$O$200))</f>
        <v/>
      </c>
      <c r="P14" s="10">
        <f>IF($O14="","",IF($O14&gt;=TODAY(),NETWORKDAYS(TODAY(),$O14,Listas!$O$2:$O$200)-1,NETWORKDAYS(TODAY(),$O14,Listas!$O$2:$O$200)+1))</f>
        <v/>
      </c>
      <c r="Q14" s="11">
        <f>IF($O14="","",IF($R14="Finalizado","Concluído",IF($R14="Usuário desistiu","Encerrado",IF($P14&lt;0,"Atrasado",IF($P14=0,"Vence hoje","No prazo")))))</f>
        <v/>
      </c>
      <c r="S14" s="7" t="b">
        <v>0</v>
      </c>
      <c r="T14" s="6" t="n"/>
      <c r="U14" s="12">
        <f>IF(COUNTIF(Checklist!$A$2:$A$3000,$A14)=0,"",COUNTIFS(Checklist!$A$2:$A$3000,$A14,Checklist!$C$2:$C$3000,TRUE)/COUNTIF(Checklist!$A$2:$A$3000,$A14))</f>
        <v/>
      </c>
      <c r="V14" s="6" t="n"/>
      <c r="Y14" s="7" t="b">
        <v>0</v>
      </c>
      <c r="Z14" s="6" t="n"/>
    </row>
    <row r="15">
      <c r="C15" s="6" t="n"/>
      <c r="E15" s="7" t="n"/>
      <c r="J15" s="8">
        <f>IF($I15="","",IFERROR(VLOOKUP($I15,Listas!$A$2:$B$100,2,FALSE),"—"))</f>
        <v/>
      </c>
      <c r="M15" s="7" t="b">
        <v>0</v>
      </c>
      <c r="N15" s="6" t="n"/>
      <c r="O15" s="9">
        <f>IF($N15="","",WORKDAY($N15,5,Listas!$O$2:$O$200))</f>
        <v/>
      </c>
      <c r="P15" s="10">
        <f>IF($O15="","",IF($O15&gt;=TODAY(),NETWORKDAYS(TODAY(),$O15,Listas!$O$2:$O$200)-1,NETWORKDAYS(TODAY(),$O15,Listas!$O$2:$O$200)+1))</f>
        <v/>
      </c>
      <c r="Q15" s="11">
        <f>IF($O15="","",IF($R15="Finalizado","Concluído",IF($R15="Usuário desistiu","Encerrado",IF($P15&lt;0,"Atrasado",IF($P15=0,"Vence hoje","No prazo")))))</f>
        <v/>
      </c>
      <c r="S15" s="7" t="b">
        <v>0</v>
      </c>
      <c r="T15" s="6" t="n"/>
      <c r="U15" s="12">
        <f>IF(COUNTIF(Checklist!$A$2:$A$3000,$A15)=0,"",COUNTIFS(Checklist!$A$2:$A$3000,$A15,Checklist!$C$2:$C$3000,TRUE)/COUNTIF(Checklist!$A$2:$A$3000,$A15))</f>
        <v/>
      </c>
      <c r="V15" s="6" t="n"/>
      <c r="Y15" s="7" t="b">
        <v>0</v>
      </c>
      <c r="Z15" s="6" t="n"/>
    </row>
    <row r="16">
      <c r="C16" s="6" t="n"/>
      <c r="E16" s="7" t="n"/>
      <c r="J16" s="8">
        <f>IF($I16="","",IFERROR(VLOOKUP($I16,Listas!$A$2:$B$100,2,FALSE),"—"))</f>
        <v/>
      </c>
      <c r="M16" s="7" t="b">
        <v>0</v>
      </c>
      <c r="N16" s="6" t="n"/>
      <c r="O16" s="9">
        <f>IF($N16="","",WORKDAY($N16,5,Listas!$O$2:$O$200))</f>
        <v/>
      </c>
      <c r="P16" s="10">
        <f>IF($O16="","",IF($O16&gt;=TODAY(),NETWORKDAYS(TODAY(),$O16,Listas!$O$2:$O$200)-1,NETWORKDAYS(TODAY(),$O16,Listas!$O$2:$O$200)+1))</f>
        <v/>
      </c>
      <c r="Q16" s="11">
        <f>IF($O16="","",IF($R16="Finalizado","Concluído",IF($R16="Usuário desistiu","Encerrado",IF($P16&lt;0,"Atrasado",IF($P16=0,"Vence hoje","No prazo")))))</f>
        <v/>
      </c>
      <c r="S16" s="7" t="b">
        <v>0</v>
      </c>
      <c r="T16" s="6" t="n"/>
      <c r="U16" s="12">
        <f>IF(COUNTIF(Checklist!$A$2:$A$3000,$A16)=0,"",COUNTIFS(Checklist!$A$2:$A$3000,$A16,Checklist!$C$2:$C$3000,TRUE)/COUNTIF(Checklist!$A$2:$A$3000,$A16))</f>
        <v/>
      </c>
      <c r="V16" s="6" t="n"/>
      <c r="Y16" s="7" t="b">
        <v>0</v>
      </c>
      <c r="Z16" s="6" t="n"/>
    </row>
    <row r="17">
      <c r="C17" s="6" t="n"/>
      <c r="E17" s="7" t="n"/>
      <c r="J17" s="8">
        <f>IF($I17="","",IFERROR(VLOOKUP($I17,Listas!$A$2:$B$100,2,FALSE),"—"))</f>
        <v/>
      </c>
      <c r="M17" s="7" t="b">
        <v>0</v>
      </c>
      <c r="N17" s="6" t="n"/>
      <c r="O17" s="9">
        <f>IF($N17="","",WORKDAY($N17,5,Listas!$O$2:$O$200))</f>
        <v/>
      </c>
      <c r="P17" s="10">
        <f>IF($O17="","",IF($O17&gt;=TODAY(),NETWORKDAYS(TODAY(),$O17,Listas!$O$2:$O$200)-1,NETWORKDAYS(TODAY(),$O17,Listas!$O$2:$O$200)+1))</f>
        <v/>
      </c>
      <c r="Q17" s="11">
        <f>IF($O17="","",IF($R17="Finalizado","Concluído",IF($R17="Usuário desistiu","Encerrado",IF($P17&lt;0,"Atrasado",IF($P17=0,"Vence hoje","No prazo")))))</f>
        <v/>
      </c>
      <c r="S17" s="7" t="b">
        <v>0</v>
      </c>
      <c r="T17" s="6" t="n"/>
      <c r="U17" s="12">
        <f>IF(COUNTIF(Checklist!$A$2:$A$3000,$A17)=0,"",COUNTIFS(Checklist!$A$2:$A$3000,$A17,Checklist!$C$2:$C$3000,TRUE)/COUNTIF(Checklist!$A$2:$A$3000,$A17))</f>
        <v/>
      </c>
      <c r="V17" s="6" t="n"/>
      <c r="Y17" s="7" t="b">
        <v>0</v>
      </c>
      <c r="Z17" s="6" t="n"/>
    </row>
    <row r="18">
      <c r="C18" s="6" t="n"/>
      <c r="E18" s="7" t="n"/>
      <c r="J18" s="8">
        <f>IF($I18="","",IFERROR(VLOOKUP($I18,Listas!$A$2:$B$100,2,FALSE),"—"))</f>
        <v/>
      </c>
      <c r="M18" s="7" t="b">
        <v>0</v>
      </c>
      <c r="N18" s="6" t="n"/>
      <c r="O18" s="9">
        <f>IF($N18="","",WORKDAY($N18,5,Listas!$O$2:$O$200))</f>
        <v/>
      </c>
      <c r="P18" s="10">
        <f>IF($O18="","",IF($O18&gt;=TODAY(),NETWORKDAYS(TODAY(),$O18,Listas!$O$2:$O$200)-1,NETWORKDAYS(TODAY(),$O18,Listas!$O$2:$O$200)+1))</f>
        <v/>
      </c>
      <c r="Q18" s="11">
        <f>IF($O18="","",IF($R18="Finalizado","Concluído",IF($R18="Usuário desistiu","Encerrado",IF($P18&lt;0,"Atrasado",IF($P18=0,"Vence hoje","No prazo")))))</f>
        <v/>
      </c>
      <c r="S18" s="7" t="b">
        <v>0</v>
      </c>
      <c r="T18" s="6" t="n"/>
      <c r="U18" s="12">
        <f>IF(COUNTIF(Checklist!$A$2:$A$3000,$A18)=0,"",COUNTIFS(Checklist!$A$2:$A$3000,$A18,Checklist!$C$2:$C$3000,TRUE)/COUNTIF(Checklist!$A$2:$A$3000,$A18))</f>
        <v/>
      </c>
      <c r="V18" s="6" t="n"/>
      <c r="Y18" s="7" t="b">
        <v>0</v>
      </c>
      <c r="Z18" s="6" t="n"/>
    </row>
    <row r="19">
      <c r="C19" s="6" t="n"/>
      <c r="E19" s="7" t="n"/>
      <c r="J19" s="8">
        <f>IF($I19="","",IFERROR(VLOOKUP($I19,Listas!$A$2:$B$100,2,FALSE),"—"))</f>
        <v/>
      </c>
      <c r="M19" s="7" t="b">
        <v>0</v>
      </c>
      <c r="N19" s="6" t="n"/>
      <c r="O19" s="9">
        <f>IF($N19="","",WORKDAY($N19,5,Listas!$O$2:$O$200))</f>
        <v/>
      </c>
      <c r="P19" s="10">
        <f>IF($O19="","",IF($O19&gt;=TODAY(),NETWORKDAYS(TODAY(),$O19,Listas!$O$2:$O$200)-1,NETWORKDAYS(TODAY(),$O19,Listas!$O$2:$O$200)+1))</f>
        <v/>
      </c>
      <c r="Q19" s="11">
        <f>IF($O19="","",IF($R19="Finalizado","Concluído",IF($R19="Usuário desistiu","Encerrado",IF($P19&lt;0,"Atrasado",IF($P19=0,"Vence hoje","No prazo")))))</f>
        <v/>
      </c>
      <c r="S19" s="7" t="b">
        <v>0</v>
      </c>
      <c r="T19" s="6" t="n"/>
      <c r="U19" s="12">
        <f>IF(COUNTIF(Checklist!$A$2:$A$3000,$A19)=0,"",COUNTIFS(Checklist!$A$2:$A$3000,$A19,Checklist!$C$2:$C$3000,TRUE)/COUNTIF(Checklist!$A$2:$A$3000,$A19))</f>
        <v/>
      </c>
      <c r="V19" s="6" t="n"/>
      <c r="Y19" s="7" t="b">
        <v>0</v>
      </c>
      <c r="Z19" s="6" t="n"/>
    </row>
    <row r="20">
      <c r="C20" s="6" t="n"/>
      <c r="E20" s="7" t="n"/>
      <c r="J20" s="8">
        <f>IF($I20="","",IFERROR(VLOOKUP($I20,Listas!$A$2:$B$100,2,FALSE),"—"))</f>
        <v/>
      </c>
      <c r="M20" s="7" t="b">
        <v>0</v>
      </c>
      <c r="N20" s="6" t="n"/>
      <c r="O20" s="9">
        <f>IF($N20="","",WORKDAY($N20,5,Listas!$O$2:$O$200))</f>
        <v/>
      </c>
      <c r="P20" s="10">
        <f>IF($O20="","",IF($O20&gt;=TODAY(),NETWORKDAYS(TODAY(),$O20,Listas!$O$2:$O$200)-1,NETWORKDAYS(TODAY(),$O20,Listas!$O$2:$O$200)+1))</f>
        <v/>
      </c>
      <c r="Q20" s="11">
        <f>IF($O20="","",IF($R20="Finalizado","Concluído",IF($R20="Usuário desistiu","Encerrado",IF($P20&lt;0,"Atrasado",IF($P20=0,"Vence hoje","No prazo")))))</f>
        <v/>
      </c>
      <c r="S20" s="7" t="b">
        <v>0</v>
      </c>
      <c r="T20" s="6" t="n"/>
      <c r="U20" s="12">
        <f>IF(COUNTIF(Checklist!$A$2:$A$3000,$A20)=0,"",COUNTIFS(Checklist!$A$2:$A$3000,$A20,Checklist!$C$2:$C$3000,TRUE)/COUNTIF(Checklist!$A$2:$A$3000,$A20))</f>
        <v/>
      </c>
      <c r="V20" s="6" t="n"/>
      <c r="Y20" s="7" t="b">
        <v>0</v>
      </c>
      <c r="Z20" s="6" t="n"/>
    </row>
    <row r="21">
      <c r="C21" s="6" t="n"/>
      <c r="E21" s="7" t="n"/>
      <c r="J21" s="8">
        <f>IF($I21="","",IFERROR(VLOOKUP($I21,Listas!$A$2:$B$100,2,FALSE),"—"))</f>
        <v/>
      </c>
      <c r="M21" s="7" t="b">
        <v>0</v>
      </c>
      <c r="N21" s="6" t="n"/>
      <c r="O21" s="9">
        <f>IF($N21="","",WORKDAY($N21,5,Listas!$O$2:$O$200))</f>
        <v/>
      </c>
      <c r="P21" s="10">
        <f>IF($O21="","",IF($O21&gt;=TODAY(),NETWORKDAYS(TODAY(),$O21,Listas!$O$2:$O$200)-1,NETWORKDAYS(TODAY(),$O21,Listas!$O$2:$O$200)+1))</f>
        <v/>
      </c>
      <c r="Q21" s="11">
        <f>IF($O21="","",IF($R21="Finalizado","Concluído",IF($R21="Usuário desistiu","Encerrado",IF($P21&lt;0,"Atrasado",IF($P21=0,"Vence hoje","No prazo")))))</f>
        <v/>
      </c>
      <c r="S21" s="7" t="b">
        <v>0</v>
      </c>
      <c r="T21" s="6" t="n"/>
      <c r="U21" s="12">
        <f>IF(COUNTIF(Checklist!$A$2:$A$3000,$A21)=0,"",COUNTIFS(Checklist!$A$2:$A$3000,$A21,Checklist!$C$2:$C$3000,TRUE)/COUNTIF(Checklist!$A$2:$A$3000,$A21))</f>
        <v/>
      </c>
      <c r="V21" s="6" t="n"/>
      <c r="Y21" s="7" t="b">
        <v>0</v>
      </c>
      <c r="Z21" s="6" t="n"/>
    </row>
    <row r="22">
      <c r="C22" s="6" t="n"/>
      <c r="E22" s="7" t="n"/>
      <c r="J22" s="8">
        <f>IF($I22="","",IFERROR(VLOOKUP($I22,Listas!$A$2:$B$100,2,FALSE),"—"))</f>
        <v/>
      </c>
      <c r="M22" s="7" t="b">
        <v>0</v>
      </c>
      <c r="N22" s="6" t="n"/>
      <c r="O22" s="9">
        <f>IF($N22="","",WORKDAY($N22,5,Listas!$O$2:$O$200))</f>
        <v/>
      </c>
      <c r="P22" s="10">
        <f>IF($O22="","",IF($O22&gt;=TODAY(),NETWORKDAYS(TODAY(),$O22,Listas!$O$2:$O$200)-1,NETWORKDAYS(TODAY(),$O22,Listas!$O$2:$O$200)+1))</f>
        <v/>
      </c>
      <c r="Q22" s="11">
        <f>IF($O22="","",IF($R22="Finalizado","Concluído",IF($R22="Usuário desistiu","Encerrado",IF($P22&lt;0,"Atrasado",IF($P22=0,"Vence hoje","No prazo")))))</f>
        <v/>
      </c>
      <c r="S22" s="7" t="b">
        <v>0</v>
      </c>
      <c r="T22" s="6" t="n"/>
      <c r="U22" s="12">
        <f>IF(COUNTIF(Checklist!$A$2:$A$3000,$A22)=0,"",COUNTIFS(Checklist!$A$2:$A$3000,$A22,Checklist!$C$2:$C$3000,TRUE)/COUNTIF(Checklist!$A$2:$A$3000,$A22))</f>
        <v/>
      </c>
      <c r="V22" s="6" t="n"/>
      <c r="Y22" s="7" t="b">
        <v>0</v>
      </c>
      <c r="Z22" s="6" t="n"/>
    </row>
    <row r="23">
      <c r="C23" s="6" t="n"/>
      <c r="E23" s="7" t="n"/>
      <c r="J23" s="8">
        <f>IF($I23="","",IFERROR(VLOOKUP($I23,Listas!$A$2:$B$100,2,FALSE),"—"))</f>
        <v/>
      </c>
      <c r="M23" s="7" t="b">
        <v>0</v>
      </c>
      <c r="N23" s="6" t="n"/>
      <c r="O23" s="9">
        <f>IF($N23="","",WORKDAY($N23,5,Listas!$O$2:$O$200))</f>
        <v/>
      </c>
      <c r="P23" s="10">
        <f>IF($O23="","",IF($O23&gt;=TODAY(),NETWORKDAYS(TODAY(),$O23,Listas!$O$2:$O$200)-1,NETWORKDAYS(TODAY(),$O23,Listas!$O$2:$O$200)+1))</f>
        <v/>
      </c>
      <c r="Q23" s="11">
        <f>IF($O23="","",IF($R23="Finalizado","Concluído",IF($R23="Usuário desistiu","Encerrado",IF($P23&lt;0,"Atrasado",IF($P23=0,"Vence hoje","No prazo")))))</f>
        <v/>
      </c>
      <c r="S23" s="7" t="b">
        <v>0</v>
      </c>
      <c r="T23" s="6" t="n"/>
      <c r="U23" s="12">
        <f>IF(COUNTIF(Checklist!$A$2:$A$3000,$A23)=0,"",COUNTIFS(Checklist!$A$2:$A$3000,$A23,Checklist!$C$2:$C$3000,TRUE)/COUNTIF(Checklist!$A$2:$A$3000,$A23))</f>
        <v/>
      </c>
      <c r="V23" s="6" t="n"/>
      <c r="Y23" s="7" t="b">
        <v>0</v>
      </c>
      <c r="Z23" s="6" t="n"/>
    </row>
    <row r="24">
      <c r="C24" s="6" t="n"/>
      <c r="E24" s="7" t="n"/>
      <c r="J24" s="8">
        <f>IF($I24="","",IFERROR(VLOOKUP($I24,Listas!$A$2:$B$100,2,FALSE),"—"))</f>
        <v/>
      </c>
      <c r="M24" s="7" t="b">
        <v>0</v>
      </c>
      <c r="N24" s="6" t="n"/>
      <c r="O24" s="9">
        <f>IF($N24="","",WORKDAY($N24,5,Listas!$O$2:$O$200))</f>
        <v/>
      </c>
      <c r="P24" s="10">
        <f>IF($O24="","",IF($O24&gt;=TODAY(),NETWORKDAYS(TODAY(),$O24,Listas!$O$2:$O$200)-1,NETWORKDAYS(TODAY(),$O24,Listas!$O$2:$O$200)+1))</f>
        <v/>
      </c>
      <c r="Q24" s="11">
        <f>IF($O24="","",IF($R24="Finalizado","Concluído",IF($R24="Usuário desistiu","Encerrado",IF($P24&lt;0,"Atrasado",IF($P24=0,"Vence hoje","No prazo")))))</f>
        <v/>
      </c>
      <c r="S24" s="7" t="b">
        <v>0</v>
      </c>
      <c r="T24" s="6" t="n"/>
      <c r="U24" s="12">
        <f>IF(COUNTIF(Checklist!$A$2:$A$3000,$A24)=0,"",COUNTIFS(Checklist!$A$2:$A$3000,$A24,Checklist!$C$2:$C$3000,TRUE)/COUNTIF(Checklist!$A$2:$A$3000,$A24))</f>
        <v/>
      </c>
      <c r="V24" s="6" t="n"/>
      <c r="Y24" s="7" t="b">
        <v>0</v>
      </c>
      <c r="Z24" s="6" t="n"/>
    </row>
    <row r="25">
      <c r="C25" s="6" t="n"/>
      <c r="E25" s="7" t="n"/>
      <c r="J25" s="8">
        <f>IF($I25="","",IFERROR(VLOOKUP($I25,Listas!$A$2:$B$100,2,FALSE),"—"))</f>
        <v/>
      </c>
      <c r="M25" s="7" t="b">
        <v>0</v>
      </c>
      <c r="N25" s="6" t="n"/>
      <c r="O25" s="9">
        <f>IF($N25="","",WORKDAY($N25,5,Listas!$O$2:$O$200))</f>
        <v/>
      </c>
      <c r="P25" s="10">
        <f>IF($O25="","",IF($O25&gt;=TODAY(),NETWORKDAYS(TODAY(),$O25,Listas!$O$2:$O$200)-1,NETWORKDAYS(TODAY(),$O25,Listas!$O$2:$O$200)+1))</f>
        <v/>
      </c>
      <c r="Q25" s="11">
        <f>IF($O25="","",IF($R25="Finalizado","Concluído",IF($R25="Usuário desistiu","Encerrado",IF($P25&lt;0,"Atrasado",IF($P25=0,"Vence hoje","No prazo")))))</f>
        <v/>
      </c>
      <c r="S25" s="7" t="b">
        <v>0</v>
      </c>
      <c r="T25" s="6" t="n"/>
      <c r="U25" s="12">
        <f>IF(COUNTIF(Checklist!$A$2:$A$3000,$A25)=0,"",COUNTIFS(Checklist!$A$2:$A$3000,$A25,Checklist!$C$2:$C$3000,TRUE)/COUNTIF(Checklist!$A$2:$A$3000,$A25))</f>
        <v/>
      </c>
      <c r="V25" s="6" t="n"/>
      <c r="Y25" s="7" t="b">
        <v>0</v>
      </c>
      <c r="Z25" s="6" t="n"/>
    </row>
    <row r="26">
      <c r="C26" s="6" t="n"/>
      <c r="E26" s="7" t="n"/>
      <c r="J26" s="8">
        <f>IF($I26="","",IFERROR(VLOOKUP($I26,Listas!$A$2:$B$100,2,FALSE),"—"))</f>
        <v/>
      </c>
      <c r="M26" s="7" t="b">
        <v>0</v>
      </c>
      <c r="N26" s="6" t="n"/>
      <c r="O26" s="9">
        <f>IF($N26="","",WORKDAY($N26,5,Listas!$O$2:$O$200))</f>
        <v/>
      </c>
      <c r="P26" s="10">
        <f>IF($O26="","",IF($O26&gt;=TODAY(),NETWORKDAYS(TODAY(),$O26,Listas!$O$2:$O$200)-1,NETWORKDAYS(TODAY(),$O26,Listas!$O$2:$O$200)+1))</f>
        <v/>
      </c>
      <c r="Q26" s="11">
        <f>IF($O26="","",IF($R26="Finalizado","Concluído",IF($R26="Usuário desistiu","Encerrado",IF($P26&lt;0,"Atrasado",IF($P26=0,"Vence hoje","No prazo")))))</f>
        <v/>
      </c>
      <c r="S26" s="7" t="b">
        <v>0</v>
      </c>
      <c r="T26" s="6" t="n"/>
      <c r="U26" s="12">
        <f>IF(COUNTIF(Checklist!$A$2:$A$3000,$A26)=0,"",COUNTIFS(Checklist!$A$2:$A$3000,$A26,Checklist!$C$2:$C$3000,TRUE)/COUNTIF(Checklist!$A$2:$A$3000,$A26))</f>
        <v/>
      </c>
      <c r="V26" s="6" t="n"/>
      <c r="Y26" s="7" t="b">
        <v>0</v>
      </c>
      <c r="Z26" s="6" t="n"/>
    </row>
    <row r="27">
      <c r="C27" s="6" t="n"/>
      <c r="E27" s="7" t="n"/>
      <c r="J27" s="8">
        <f>IF($I27="","",IFERROR(VLOOKUP($I27,Listas!$A$2:$B$100,2,FALSE),"—"))</f>
        <v/>
      </c>
      <c r="M27" s="7" t="b">
        <v>0</v>
      </c>
      <c r="N27" s="6" t="n"/>
      <c r="O27" s="9">
        <f>IF($N27="","",WORKDAY($N27,5,Listas!$O$2:$O$200))</f>
        <v/>
      </c>
      <c r="P27" s="10">
        <f>IF($O27="","",IF($O27&gt;=TODAY(),NETWORKDAYS(TODAY(),$O27,Listas!$O$2:$O$200)-1,NETWORKDAYS(TODAY(),$O27,Listas!$O$2:$O$200)+1))</f>
        <v/>
      </c>
      <c r="Q27" s="11">
        <f>IF($O27="","",IF($R27="Finalizado","Concluído",IF($R27="Usuário desistiu","Encerrado",IF($P27&lt;0,"Atrasado",IF($P27=0,"Vence hoje","No prazo")))))</f>
        <v/>
      </c>
      <c r="S27" s="7" t="b">
        <v>0</v>
      </c>
      <c r="T27" s="6" t="n"/>
      <c r="U27" s="12">
        <f>IF(COUNTIF(Checklist!$A$2:$A$3000,$A27)=0,"",COUNTIFS(Checklist!$A$2:$A$3000,$A27,Checklist!$C$2:$C$3000,TRUE)/COUNTIF(Checklist!$A$2:$A$3000,$A27))</f>
        <v/>
      </c>
      <c r="V27" s="6" t="n"/>
      <c r="Y27" s="7" t="b">
        <v>0</v>
      </c>
      <c r="Z27" s="6" t="n"/>
    </row>
    <row r="28">
      <c r="C28" s="6" t="n"/>
      <c r="E28" s="7" t="n"/>
      <c r="J28" s="8">
        <f>IF($I28="","",IFERROR(VLOOKUP($I28,Listas!$A$2:$B$100,2,FALSE),"—"))</f>
        <v/>
      </c>
      <c r="M28" s="7" t="b">
        <v>0</v>
      </c>
      <c r="N28" s="6" t="n"/>
      <c r="O28" s="9">
        <f>IF($N28="","",WORKDAY($N28,5,Listas!$O$2:$O$200))</f>
        <v/>
      </c>
      <c r="P28" s="10">
        <f>IF($O28="","",IF($O28&gt;=TODAY(),NETWORKDAYS(TODAY(),$O28,Listas!$O$2:$O$200)-1,NETWORKDAYS(TODAY(),$O28,Listas!$O$2:$O$200)+1))</f>
        <v/>
      </c>
      <c r="Q28" s="11">
        <f>IF($O28="","",IF($R28="Finalizado","Concluído",IF($R28="Usuário desistiu","Encerrado",IF($P28&lt;0,"Atrasado",IF($P28=0,"Vence hoje","No prazo")))))</f>
        <v/>
      </c>
      <c r="S28" s="7" t="b">
        <v>0</v>
      </c>
      <c r="T28" s="6" t="n"/>
      <c r="U28" s="12">
        <f>IF(COUNTIF(Checklist!$A$2:$A$3000,$A28)=0,"",COUNTIFS(Checklist!$A$2:$A$3000,$A28,Checklist!$C$2:$C$3000,TRUE)/COUNTIF(Checklist!$A$2:$A$3000,$A28))</f>
        <v/>
      </c>
      <c r="V28" s="6" t="n"/>
      <c r="Y28" s="7" t="b">
        <v>0</v>
      </c>
      <c r="Z28" s="6" t="n"/>
    </row>
    <row r="29">
      <c r="C29" s="6" t="n"/>
      <c r="E29" s="7" t="n"/>
      <c r="J29" s="8">
        <f>IF($I29="","",IFERROR(VLOOKUP($I29,Listas!$A$2:$B$100,2,FALSE),"—"))</f>
        <v/>
      </c>
      <c r="M29" s="7" t="b">
        <v>0</v>
      </c>
      <c r="N29" s="6" t="n"/>
      <c r="O29" s="9">
        <f>IF($N29="","",WORKDAY($N29,5,Listas!$O$2:$O$200))</f>
        <v/>
      </c>
      <c r="P29" s="10">
        <f>IF($O29="","",IF($O29&gt;=TODAY(),NETWORKDAYS(TODAY(),$O29,Listas!$O$2:$O$200)-1,NETWORKDAYS(TODAY(),$O29,Listas!$O$2:$O$200)+1))</f>
        <v/>
      </c>
      <c r="Q29" s="11">
        <f>IF($O29="","",IF($R29="Finalizado","Concluído",IF($R29="Usuário desistiu","Encerrado",IF($P29&lt;0,"Atrasado",IF($P29=0,"Vence hoje","No prazo")))))</f>
        <v/>
      </c>
      <c r="S29" s="7" t="b">
        <v>0</v>
      </c>
      <c r="T29" s="6" t="n"/>
      <c r="U29" s="12">
        <f>IF(COUNTIF(Checklist!$A$2:$A$3000,$A29)=0,"",COUNTIFS(Checklist!$A$2:$A$3000,$A29,Checklist!$C$2:$C$3000,TRUE)/COUNTIF(Checklist!$A$2:$A$3000,$A29))</f>
        <v/>
      </c>
      <c r="V29" s="6" t="n"/>
      <c r="Y29" s="7" t="b">
        <v>0</v>
      </c>
      <c r="Z29" s="6" t="n"/>
    </row>
    <row r="30">
      <c r="C30" s="6" t="n"/>
      <c r="E30" s="7" t="n"/>
      <c r="J30" s="8">
        <f>IF($I30="","",IFERROR(VLOOKUP($I30,Listas!$A$2:$B$100,2,FALSE),"—"))</f>
        <v/>
      </c>
      <c r="M30" s="7" t="b">
        <v>0</v>
      </c>
      <c r="N30" s="6" t="n"/>
      <c r="O30" s="9">
        <f>IF($N30="","",WORKDAY($N30,5,Listas!$O$2:$O$200))</f>
        <v/>
      </c>
      <c r="P30" s="10">
        <f>IF($O30="","",IF($O30&gt;=TODAY(),NETWORKDAYS(TODAY(),$O30,Listas!$O$2:$O$200)-1,NETWORKDAYS(TODAY(),$O30,Listas!$O$2:$O$200)+1))</f>
        <v/>
      </c>
      <c r="Q30" s="11">
        <f>IF($O30="","",IF($R30="Finalizado","Concluído",IF($R30="Usuário desistiu","Encerrado",IF($P30&lt;0,"Atrasado",IF($P30=0,"Vence hoje","No prazo")))))</f>
        <v/>
      </c>
      <c r="S30" s="7" t="b">
        <v>0</v>
      </c>
      <c r="T30" s="6" t="n"/>
      <c r="U30" s="12">
        <f>IF(COUNTIF(Checklist!$A$2:$A$3000,$A30)=0,"",COUNTIFS(Checklist!$A$2:$A$3000,$A30,Checklist!$C$2:$C$3000,TRUE)/COUNTIF(Checklist!$A$2:$A$3000,$A30))</f>
        <v/>
      </c>
      <c r="V30" s="6" t="n"/>
      <c r="Y30" s="7" t="b">
        <v>0</v>
      </c>
      <c r="Z30" s="6" t="n"/>
    </row>
    <row r="31">
      <c r="C31" s="6" t="n"/>
      <c r="E31" s="7" t="n"/>
      <c r="J31" s="8">
        <f>IF($I31="","",IFERROR(VLOOKUP($I31,Listas!$A$2:$B$100,2,FALSE),"—"))</f>
        <v/>
      </c>
      <c r="M31" s="7" t="b">
        <v>0</v>
      </c>
      <c r="N31" s="6" t="n"/>
      <c r="O31" s="9">
        <f>IF($N31="","",WORKDAY($N31,5,Listas!$O$2:$O$200))</f>
        <v/>
      </c>
      <c r="P31" s="10">
        <f>IF($O31="","",IF($O31&gt;=TODAY(),NETWORKDAYS(TODAY(),$O31,Listas!$O$2:$O$200)-1,NETWORKDAYS(TODAY(),$O31,Listas!$O$2:$O$200)+1))</f>
        <v/>
      </c>
      <c r="Q31" s="11">
        <f>IF($O31="","",IF($R31="Finalizado","Concluído",IF($R31="Usuário desistiu","Encerrado",IF($P31&lt;0,"Atrasado",IF($P31=0,"Vence hoje","No prazo")))))</f>
        <v/>
      </c>
      <c r="S31" s="7" t="b">
        <v>0</v>
      </c>
      <c r="T31" s="6" t="n"/>
      <c r="U31" s="12">
        <f>IF(COUNTIF(Checklist!$A$2:$A$3000,$A31)=0,"",COUNTIFS(Checklist!$A$2:$A$3000,$A31,Checklist!$C$2:$C$3000,TRUE)/COUNTIF(Checklist!$A$2:$A$3000,$A31))</f>
        <v/>
      </c>
      <c r="V31" s="6" t="n"/>
      <c r="Y31" s="7" t="b">
        <v>0</v>
      </c>
      <c r="Z31" s="6" t="n"/>
    </row>
    <row r="32">
      <c r="C32" s="6" t="n"/>
      <c r="E32" s="7" t="n"/>
      <c r="J32" s="8">
        <f>IF($I32="","",IFERROR(VLOOKUP($I32,Listas!$A$2:$B$100,2,FALSE),"—"))</f>
        <v/>
      </c>
      <c r="M32" s="7" t="b">
        <v>0</v>
      </c>
      <c r="N32" s="6" t="n"/>
      <c r="O32" s="9">
        <f>IF($N32="","",WORKDAY($N32,5,Listas!$O$2:$O$200))</f>
        <v/>
      </c>
      <c r="P32" s="10">
        <f>IF($O32="","",IF($O32&gt;=TODAY(),NETWORKDAYS(TODAY(),$O32,Listas!$O$2:$O$200)-1,NETWORKDAYS(TODAY(),$O32,Listas!$O$2:$O$200)+1))</f>
        <v/>
      </c>
      <c r="Q32" s="11">
        <f>IF($O32="","",IF($R32="Finalizado","Concluído",IF($R32="Usuário desistiu","Encerrado",IF($P32&lt;0,"Atrasado",IF($P32=0,"Vence hoje","No prazo")))))</f>
        <v/>
      </c>
      <c r="S32" s="7" t="b">
        <v>0</v>
      </c>
      <c r="T32" s="6" t="n"/>
      <c r="U32" s="12">
        <f>IF(COUNTIF(Checklist!$A$2:$A$3000,$A32)=0,"",COUNTIFS(Checklist!$A$2:$A$3000,$A32,Checklist!$C$2:$C$3000,TRUE)/COUNTIF(Checklist!$A$2:$A$3000,$A32))</f>
        <v/>
      </c>
      <c r="V32" s="6" t="n"/>
      <c r="Y32" s="7" t="b">
        <v>0</v>
      </c>
      <c r="Z32" s="6" t="n"/>
    </row>
    <row r="33">
      <c r="C33" s="6" t="n"/>
      <c r="E33" s="7" t="n"/>
      <c r="J33" s="8">
        <f>IF($I33="","",IFERROR(VLOOKUP($I33,Listas!$A$2:$B$100,2,FALSE),"—"))</f>
        <v/>
      </c>
      <c r="M33" s="7" t="b">
        <v>0</v>
      </c>
      <c r="N33" s="6" t="n"/>
      <c r="O33" s="9">
        <f>IF($N33="","",WORKDAY($N33,5,Listas!$O$2:$O$200))</f>
        <v/>
      </c>
      <c r="P33" s="10">
        <f>IF($O33="","",IF($O33&gt;=TODAY(),NETWORKDAYS(TODAY(),$O33,Listas!$O$2:$O$200)-1,NETWORKDAYS(TODAY(),$O33,Listas!$O$2:$O$200)+1))</f>
        <v/>
      </c>
      <c r="Q33" s="11">
        <f>IF($O33="","",IF($R33="Finalizado","Concluído",IF($R33="Usuário desistiu","Encerrado",IF($P33&lt;0,"Atrasado",IF($P33=0,"Vence hoje","No prazo")))))</f>
        <v/>
      </c>
      <c r="S33" s="7" t="b">
        <v>0</v>
      </c>
      <c r="T33" s="6" t="n"/>
      <c r="U33" s="12">
        <f>IF(COUNTIF(Checklist!$A$2:$A$3000,$A33)=0,"",COUNTIFS(Checklist!$A$2:$A$3000,$A33,Checklist!$C$2:$C$3000,TRUE)/COUNTIF(Checklist!$A$2:$A$3000,$A33))</f>
        <v/>
      </c>
      <c r="V33" s="6" t="n"/>
      <c r="Y33" s="7" t="b">
        <v>0</v>
      </c>
      <c r="Z33" s="6" t="n"/>
    </row>
    <row r="34">
      <c r="C34" s="6" t="n"/>
      <c r="E34" s="7" t="n"/>
      <c r="J34" s="8">
        <f>IF($I34="","",IFERROR(VLOOKUP($I34,Listas!$A$2:$B$100,2,FALSE),"—"))</f>
        <v/>
      </c>
      <c r="M34" s="7" t="b">
        <v>0</v>
      </c>
      <c r="N34" s="6" t="n"/>
      <c r="O34" s="9">
        <f>IF($N34="","",WORKDAY($N34,5,Listas!$O$2:$O$200))</f>
        <v/>
      </c>
      <c r="P34" s="10">
        <f>IF($O34="","",IF($O34&gt;=TODAY(),NETWORKDAYS(TODAY(),$O34,Listas!$O$2:$O$200)-1,NETWORKDAYS(TODAY(),$O34,Listas!$O$2:$O$200)+1))</f>
        <v/>
      </c>
      <c r="Q34" s="11">
        <f>IF($O34="","",IF($R34="Finalizado","Concluído",IF($R34="Usuário desistiu","Encerrado",IF($P34&lt;0,"Atrasado",IF($P34=0,"Vence hoje","No prazo")))))</f>
        <v/>
      </c>
      <c r="S34" s="7" t="b">
        <v>0</v>
      </c>
      <c r="T34" s="6" t="n"/>
      <c r="U34" s="12">
        <f>IF(COUNTIF(Checklist!$A$2:$A$3000,$A34)=0,"",COUNTIFS(Checklist!$A$2:$A$3000,$A34,Checklist!$C$2:$C$3000,TRUE)/COUNTIF(Checklist!$A$2:$A$3000,$A34))</f>
        <v/>
      </c>
      <c r="V34" s="6" t="n"/>
      <c r="Y34" s="7" t="b">
        <v>0</v>
      </c>
      <c r="Z34" s="6" t="n"/>
    </row>
    <row r="35">
      <c r="C35" s="6" t="n"/>
      <c r="E35" s="7" t="n"/>
      <c r="J35" s="8">
        <f>IF($I35="","",IFERROR(VLOOKUP($I35,Listas!$A$2:$B$100,2,FALSE),"—"))</f>
        <v/>
      </c>
      <c r="M35" s="7" t="b">
        <v>0</v>
      </c>
      <c r="N35" s="6" t="n"/>
      <c r="O35" s="9">
        <f>IF($N35="","",WORKDAY($N35,5,Listas!$O$2:$O$200))</f>
        <v/>
      </c>
      <c r="P35" s="10">
        <f>IF($O35="","",IF($O35&gt;=TODAY(),NETWORKDAYS(TODAY(),$O35,Listas!$O$2:$O$200)-1,NETWORKDAYS(TODAY(),$O35,Listas!$O$2:$O$200)+1))</f>
        <v/>
      </c>
      <c r="Q35" s="11">
        <f>IF($O35="","",IF($R35="Finalizado","Concluído",IF($R35="Usuário desistiu","Encerrado",IF($P35&lt;0,"Atrasado",IF($P35=0,"Vence hoje","No prazo")))))</f>
        <v/>
      </c>
      <c r="S35" s="7" t="b">
        <v>0</v>
      </c>
      <c r="T35" s="6" t="n"/>
      <c r="U35" s="12">
        <f>IF(COUNTIF(Checklist!$A$2:$A$3000,$A35)=0,"",COUNTIFS(Checklist!$A$2:$A$3000,$A35,Checklist!$C$2:$C$3000,TRUE)/COUNTIF(Checklist!$A$2:$A$3000,$A35))</f>
        <v/>
      </c>
      <c r="V35" s="6" t="n"/>
      <c r="Y35" s="7" t="b">
        <v>0</v>
      </c>
      <c r="Z35" s="6" t="n"/>
    </row>
    <row r="36">
      <c r="C36" s="6" t="n"/>
      <c r="E36" s="7" t="n"/>
      <c r="J36" s="8">
        <f>IF($I36="","",IFERROR(VLOOKUP($I36,Listas!$A$2:$B$100,2,FALSE),"—"))</f>
        <v/>
      </c>
      <c r="M36" s="7" t="b">
        <v>0</v>
      </c>
      <c r="N36" s="6" t="n"/>
      <c r="O36" s="9">
        <f>IF($N36="","",WORKDAY($N36,5,Listas!$O$2:$O$200))</f>
        <v/>
      </c>
      <c r="P36" s="10">
        <f>IF($O36="","",IF($O36&gt;=TODAY(),NETWORKDAYS(TODAY(),$O36,Listas!$O$2:$O$200)-1,NETWORKDAYS(TODAY(),$O36,Listas!$O$2:$O$200)+1))</f>
        <v/>
      </c>
      <c r="Q36" s="11">
        <f>IF($O36="","",IF($R36="Finalizado","Concluído",IF($R36="Usuário desistiu","Encerrado",IF($P36&lt;0,"Atrasado",IF($P36=0,"Vence hoje","No prazo")))))</f>
        <v/>
      </c>
      <c r="S36" s="7" t="b">
        <v>0</v>
      </c>
      <c r="T36" s="6" t="n"/>
      <c r="U36" s="12">
        <f>IF(COUNTIF(Checklist!$A$2:$A$3000,$A36)=0,"",COUNTIFS(Checklist!$A$2:$A$3000,$A36,Checklist!$C$2:$C$3000,TRUE)/COUNTIF(Checklist!$A$2:$A$3000,$A36))</f>
        <v/>
      </c>
      <c r="V36" s="6" t="n"/>
      <c r="Y36" s="7" t="b">
        <v>0</v>
      </c>
      <c r="Z36" s="6" t="n"/>
    </row>
    <row r="37">
      <c r="C37" s="6" t="n"/>
      <c r="E37" s="7" t="n"/>
      <c r="J37" s="8">
        <f>IF($I37="","",IFERROR(VLOOKUP($I37,Listas!$A$2:$B$100,2,FALSE),"—"))</f>
        <v/>
      </c>
      <c r="M37" s="7" t="b">
        <v>0</v>
      </c>
      <c r="N37" s="6" t="n"/>
      <c r="O37" s="9">
        <f>IF($N37="","",WORKDAY($N37,5,Listas!$O$2:$O$200))</f>
        <v/>
      </c>
      <c r="P37" s="10">
        <f>IF($O37="","",IF($O37&gt;=TODAY(),NETWORKDAYS(TODAY(),$O37,Listas!$O$2:$O$200)-1,NETWORKDAYS(TODAY(),$O37,Listas!$O$2:$O$200)+1))</f>
        <v/>
      </c>
      <c r="Q37" s="11">
        <f>IF($O37="","",IF($R37="Finalizado","Concluído",IF($R37="Usuário desistiu","Encerrado",IF($P37&lt;0,"Atrasado",IF($P37=0,"Vence hoje","No prazo")))))</f>
        <v/>
      </c>
      <c r="S37" s="7" t="b">
        <v>0</v>
      </c>
      <c r="T37" s="6" t="n"/>
      <c r="U37" s="12">
        <f>IF(COUNTIF(Checklist!$A$2:$A$3000,$A37)=0,"",COUNTIFS(Checklist!$A$2:$A$3000,$A37,Checklist!$C$2:$C$3000,TRUE)/COUNTIF(Checklist!$A$2:$A$3000,$A37))</f>
        <v/>
      </c>
      <c r="V37" s="6" t="n"/>
      <c r="Y37" s="7" t="b">
        <v>0</v>
      </c>
      <c r="Z37" s="6" t="n"/>
    </row>
    <row r="38">
      <c r="C38" s="6" t="n"/>
      <c r="E38" s="7" t="n"/>
      <c r="J38" s="8">
        <f>IF($I38="","",IFERROR(VLOOKUP($I38,Listas!$A$2:$B$100,2,FALSE),"—"))</f>
        <v/>
      </c>
      <c r="M38" s="7" t="b">
        <v>0</v>
      </c>
      <c r="N38" s="6" t="n"/>
      <c r="O38" s="9">
        <f>IF($N38="","",WORKDAY($N38,5,Listas!$O$2:$O$200))</f>
        <v/>
      </c>
      <c r="P38" s="10">
        <f>IF($O38="","",IF($O38&gt;=TODAY(),NETWORKDAYS(TODAY(),$O38,Listas!$O$2:$O$200)-1,NETWORKDAYS(TODAY(),$O38,Listas!$O$2:$O$200)+1))</f>
        <v/>
      </c>
      <c r="Q38" s="11">
        <f>IF($O38="","",IF($R38="Finalizado","Concluído",IF($R38="Usuário desistiu","Encerrado",IF($P38&lt;0,"Atrasado",IF($P38=0,"Vence hoje","No prazo")))))</f>
        <v/>
      </c>
      <c r="S38" s="7" t="b">
        <v>0</v>
      </c>
      <c r="T38" s="6" t="n"/>
      <c r="U38" s="12">
        <f>IF(COUNTIF(Checklist!$A$2:$A$3000,$A38)=0,"",COUNTIFS(Checklist!$A$2:$A$3000,$A38,Checklist!$C$2:$C$3000,TRUE)/COUNTIF(Checklist!$A$2:$A$3000,$A38))</f>
        <v/>
      </c>
      <c r="V38" s="6" t="n"/>
      <c r="Y38" s="7" t="b">
        <v>0</v>
      </c>
      <c r="Z38" s="6" t="n"/>
    </row>
    <row r="39">
      <c r="C39" s="6" t="n"/>
      <c r="E39" s="7" t="n"/>
      <c r="J39" s="8">
        <f>IF($I39="","",IFERROR(VLOOKUP($I39,Listas!$A$2:$B$100,2,FALSE),"—"))</f>
        <v/>
      </c>
      <c r="M39" s="7" t="b">
        <v>0</v>
      </c>
      <c r="N39" s="6" t="n"/>
      <c r="O39" s="9">
        <f>IF($N39="","",WORKDAY($N39,5,Listas!$O$2:$O$200))</f>
        <v/>
      </c>
      <c r="P39" s="10">
        <f>IF($O39="","",IF($O39&gt;=TODAY(),NETWORKDAYS(TODAY(),$O39,Listas!$O$2:$O$200)-1,NETWORKDAYS(TODAY(),$O39,Listas!$O$2:$O$200)+1))</f>
        <v/>
      </c>
      <c r="Q39" s="11">
        <f>IF($O39="","",IF($R39="Finalizado","Concluído",IF($R39="Usuário desistiu","Encerrado",IF($P39&lt;0,"Atrasado",IF($P39=0,"Vence hoje","No prazo")))))</f>
        <v/>
      </c>
      <c r="S39" s="7" t="b">
        <v>0</v>
      </c>
      <c r="T39" s="6" t="n"/>
      <c r="U39" s="12">
        <f>IF(COUNTIF(Checklist!$A$2:$A$3000,$A39)=0,"",COUNTIFS(Checklist!$A$2:$A$3000,$A39,Checklist!$C$2:$C$3000,TRUE)/COUNTIF(Checklist!$A$2:$A$3000,$A39))</f>
        <v/>
      </c>
      <c r="V39" s="6" t="n"/>
      <c r="Y39" s="7" t="b">
        <v>0</v>
      </c>
      <c r="Z39" s="6" t="n"/>
    </row>
    <row r="40">
      <c r="C40" s="6" t="n"/>
      <c r="E40" s="7" t="n"/>
      <c r="J40" s="8">
        <f>IF($I40="","",IFERROR(VLOOKUP($I40,Listas!$A$2:$B$100,2,FALSE),"—"))</f>
        <v/>
      </c>
      <c r="M40" s="7" t="b">
        <v>0</v>
      </c>
      <c r="N40" s="6" t="n"/>
      <c r="O40" s="9">
        <f>IF($N40="","",WORKDAY($N40,5,Listas!$O$2:$O$200))</f>
        <v/>
      </c>
      <c r="P40" s="10">
        <f>IF($O40="","",IF($O40&gt;=TODAY(),NETWORKDAYS(TODAY(),$O40,Listas!$O$2:$O$200)-1,NETWORKDAYS(TODAY(),$O40,Listas!$O$2:$O$200)+1))</f>
        <v/>
      </c>
      <c r="Q40" s="11">
        <f>IF($O40="","",IF($R40="Finalizado","Concluído",IF($R40="Usuário desistiu","Encerrado",IF($P40&lt;0,"Atrasado",IF($P40=0,"Vence hoje","No prazo")))))</f>
        <v/>
      </c>
      <c r="S40" s="7" t="b">
        <v>0</v>
      </c>
      <c r="T40" s="6" t="n"/>
      <c r="U40" s="12">
        <f>IF(COUNTIF(Checklist!$A$2:$A$3000,$A40)=0,"",COUNTIFS(Checklist!$A$2:$A$3000,$A40,Checklist!$C$2:$C$3000,TRUE)/COUNTIF(Checklist!$A$2:$A$3000,$A40))</f>
        <v/>
      </c>
      <c r="V40" s="6" t="n"/>
      <c r="Y40" s="7" t="b">
        <v>0</v>
      </c>
      <c r="Z40" s="6" t="n"/>
    </row>
    <row r="41">
      <c r="C41" s="6" t="n"/>
      <c r="E41" s="7" t="n"/>
      <c r="J41" s="8">
        <f>IF($I41="","",IFERROR(VLOOKUP($I41,Listas!$A$2:$B$100,2,FALSE),"—"))</f>
        <v/>
      </c>
      <c r="M41" s="7" t="b">
        <v>0</v>
      </c>
      <c r="N41" s="6" t="n"/>
      <c r="O41" s="9">
        <f>IF($N41="","",WORKDAY($N41,5,Listas!$O$2:$O$200))</f>
        <v/>
      </c>
      <c r="P41" s="10">
        <f>IF($O41="","",IF($O41&gt;=TODAY(),NETWORKDAYS(TODAY(),$O41,Listas!$O$2:$O$200)-1,NETWORKDAYS(TODAY(),$O41,Listas!$O$2:$O$200)+1))</f>
        <v/>
      </c>
      <c r="Q41" s="11">
        <f>IF($O41="","",IF($R41="Finalizado","Concluído",IF($R41="Usuário desistiu","Encerrado",IF($P41&lt;0,"Atrasado",IF($P41=0,"Vence hoje","No prazo")))))</f>
        <v/>
      </c>
      <c r="S41" s="7" t="b">
        <v>0</v>
      </c>
      <c r="T41" s="6" t="n"/>
      <c r="U41" s="12">
        <f>IF(COUNTIF(Checklist!$A$2:$A$3000,$A41)=0,"",COUNTIFS(Checklist!$A$2:$A$3000,$A41,Checklist!$C$2:$C$3000,TRUE)/COUNTIF(Checklist!$A$2:$A$3000,$A41))</f>
        <v/>
      </c>
      <c r="V41" s="6" t="n"/>
      <c r="Y41" s="7" t="b">
        <v>0</v>
      </c>
      <c r="Z41" s="6" t="n"/>
    </row>
    <row r="42">
      <c r="C42" s="6" t="n"/>
      <c r="E42" s="7" t="n"/>
      <c r="J42" s="8">
        <f>IF($I42="","",IFERROR(VLOOKUP($I42,Listas!$A$2:$B$100,2,FALSE),"—"))</f>
        <v/>
      </c>
      <c r="M42" s="7" t="b">
        <v>0</v>
      </c>
      <c r="N42" s="6" t="n"/>
      <c r="O42" s="9">
        <f>IF($N42="","",WORKDAY($N42,5,Listas!$O$2:$O$200))</f>
        <v/>
      </c>
      <c r="P42" s="10">
        <f>IF($O42="","",IF($O42&gt;=TODAY(),NETWORKDAYS(TODAY(),$O42,Listas!$O$2:$O$200)-1,NETWORKDAYS(TODAY(),$O42,Listas!$O$2:$O$200)+1))</f>
        <v/>
      </c>
      <c r="Q42" s="11">
        <f>IF($O42="","",IF($R42="Finalizado","Concluído",IF($R42="Usuário desistiu","Encerrado",IF($P42&lt;0,"Atrasado",IF($P42=0,"Vence hoje","No prazo")))))</f>
        <v/>
      </c>
      <c r="S42" s="7" t="b">
        <v>0</v>
      </c>
      <c r="T42" s="6" t="n"/>
      <c r="U42" s="12">
        <f>IF(COUNTIF(Checklist!$A$2:$A$3000,$A42)=0,"",COUNTIFS(Checklist!$A$2:$A$3000,$A42,Checklist!$C$2:$C$3000,TRUE)/COUNTIF(Checklist!$A$2:$A$3000,$A42))</f>
        <v/>
      </c>
      <c r="V42" s="6" t="n"/>
      <c r="Y42" s="7" t="b">
        <v>0</v>
      </c>
      <c r="Z42" s="6" t="n"/>
    </row>
    <row r="43">
      <c r="C43" s="6" t="n"/>
      <c r="E43" s="7" t="n"/>
      <c r="J43" s="8">
        <f>IF($I43="","",IFERROR(VLOOKUP($I43,Listas!$A$2:$B$100,2,FALSE),"—"))</f>
        <v/>
      </c>
      <c r="M43" s="7" t="b">
        <v>0</v>
      </c>
      <c r="N43" s="6" t="n"/>
      <c r="O43" s="9">
        <f>IF($N43="","",WORKDAY($N43,5,Listas!$O$2:$O$200))</f>
        <v/>
      </c>
      <c r="P43" s="10">
        <f>IF($O43="","",IF($O43&gt;=TODAY(),NETWORKDAYS(TODAY(),$O43,Listas!$O$2:$O$200)-1,NETWORKDAYS(TODAY(),$O43,Listas!$O$2:$O$200)+1))</f>
        <v/>
      </c>
      <c r="Q43" s="11">
        <f>IF($O43="","",IF($R43="Finalizado","Concluído",IF($R43="Usuário desistiu","Encerrado",IF($P43&lt;0,"Atrasado",IF($P43=0,"Vence hoje","No prazo")))))</f>
        <v/>
      </c>
      <c r="S43" s="7" t="b">
        <v>0</v>
      </c>
      <c r="T43" s="6" t="n"/>
      <c r="U43" s="12">
        <f>IF(COUNTIF(Checklist!$A$2:$A$3000,$A43)=0,"",COUNTIFS(Checklist!$A$2:$A$3000,$A43,Checklist!$C$2:$C$3000,TRUE)/COUNTIF(Checklist!$A$2:$A$3000,$A43))</f>
        <v/>
      </c>
      <c r="V43" s="6" t="n"/>
      <c r="Y43" s="7" t="b">
        <v>0</v>
      </c>
      <c r="Z43" s="6" t="n"/>
    </row>
    <row r="44">
      <c r="C44" s="6" t="n"/>
      <c r="E44" s="7" t="n"/>
      <c r="J44" s="8">
        <f>IF($I44="","",IFERROR(VLOOKUP($I44,Listas!$A$2:$B$100,2,FALSE),"—"))</f>
        <v/>
      </c>
      <c r="M44" s="7" t="b">
        <v>0</v>
      </c>
      <c r="N44" s="6" t="n"/>
      <c r="O44" s="9">
        <f>IF($N44="","",WORKDAY($N44,5,Listas!$O$2:$O$200))</f>
        <v/>
      </c>
      <c r="P44" s="10">
        <f>IF($O44="","",IF($O44&gt;=TODAY(),NETWORKDAYS(TODAY(),$O44,Listas!$O$2:$O$200)-1,NETWORKDAYS(TODAY(),$O44,Listas!$O$2:$O$200)+1))</f>
        <v/>
      </c>
      <c r="Q44" s="11">
        <f>IF($O44="","",IF($R44="Finalizado","Concluído",IF($R44="Usuário desistiu","Encerrado",IF($P44&lt;0,"Atrasado",IF($P44=0,"Vence hoje","No prazo")))))</f>
        <v/>
      </c>
      <c r="S44" s="7" t="b">
        <v>0</v>
      </c>
      <c r="T44" s="6" t="n"/>
      <c r="U44" s="12">
        <f>IF(COUNTIF(Checklist!$A$2:$A$3000,$A44)=0,"",COUNTIFS(Checklist!$A$2:$A$3000,$A44,Checklist!$C$2:$C$3000,TRUE)/COUNTIF(Checklist!$A$2:$A$3000,$A44))</f>
        <v/>
      </c>
      <c r="V44" s="6" t="n"/>
      <c r="Y44" s="7" t="b">
        <v>0</v>
      </c>
      <c r="Z44" s="6" t="n"/>
    </row>
    <row r="45">
      <c r="C45" s="6" t="n"/>
      <c r="E45" s="7" t="n"/>
      <c r="J45" s="8">
        <f>IF($I45="","",IFERROR(VLOOKUP($I45,Listas!$A$2:$B$100,2,FALSE),"—"))</f>
        <v/>
      </c>
      <c r="M45" s="7" t="b">
        <v>0</v>
      </c>
      <c r="N45" s="6" t="n"/>
      <c r="O45" s="9">
        <f>IF($N45="","",WORKDAY($N45,5,Listas!$O$2:$O$200))</f>
        <v/>
      </c>
      <c r="P45" s="10">
        <f>IF($O45="","",IF($O45&gt;=TODAY(),NETWORKDAYS(TODAY(),$O45,Listas!$O$2:$O$200)-1,NETWORKDAYS(TODAY(),$O45,Listas!$O$2:$O$200)+1))</f>
        <v/>
      </c>
      <c r="Q45" s="11">
        <f>IF($O45="","",IF($R45="Finalizado","Concluído",IF($R45="Usuário desistiu","Encerrado",IF($P45&lt;0,"Atrasado",IF($P45=0,"Vence hoje","No prazo")))))</f>
        <v/>
      </c>
      <c r="S45" s="7" t="b">
        <v>0</v>
      </c>
      <c r="T45" s="6" t="n"/>
      <c r="U45" s="12">
        <f>IF(COUNTIF(Checklist!$A$2:$A$3000,$A45)=0,"",COUNTIFS(Checklist!$A$2:$A$3000,$A45,Checklist!$C$2:$C$3000,TRUE)/COUNTIF(Checklist!$A$2:$A$3000,$A45))</f>
        <v/>
      </c>
      <c r="V45" s="6" t="n"/>
      <c r="Y45" s="7" t="b">
        <v>0</v>
      </c>
      <c r="Z45" s="6" t="n"/>
    </row>
    <row r="46">
      <c r="C46" s="6" t="n"/>
      <c r="E46" s="7" t="n"/>
      <c r="J46" s="8">
        <f>IF($I46="","",IFERROR(VLOOKUP($I46,Listas!$A$2:$B$100,2,FALSE),"—"))</f>
        <v/>
      </c>
      <c r="M46" s="7" t="b">
        <v>0</v>
      </c>
      <c r="N46" s="6" t="n"/>
      <c r="O46" s="9">
        <f>IF($N46="","",WORKDAY($N46,5,Listas!$O$2:$O$200))</f>
        <v/>
      </c>
      <c r="P46" s="10">
        <f>IF($O46="","",IF($O46&gt;=TODAY(),NETWORKDAYS(TODAY(),$O46,Listas!$O$2:$O$200)-1,NETWORKDAYS(TODAY(),$O46,Listas!$O$2:$O$200)+1))</f>
        <v/>
      </c>
      <c r="Q46" s="11">
        <f>IF($O46="","",IF($R46="Finalizado","Concluído",IF($R46="Usuário desistiu","Encerrado",IF($P46&lt;0,"Atrasado",IF($P46=0,"Vence hoje","No prazo")))))</f>
        <v/>
      </c>
      <c r="S46" s="7" t="b">
        <v>0</v>
      </c>
      <c r="T46" s="6" t="n"/>
      <c r="U46" s="12">
        <f>IF(COUNTIF(Checklist!$A$2:$A$3000,$A46)=0,"",COUNTIFS(Checklist!$A$2:$A$3000,$A46,Checklist!$C$2:$C$3000,TRUE)/COUNTIF(Checklist!$A$2:$A$3000,$A46))</f>
        <v/>
      </c>
      <c r="V46" s="6" t="n"/>
      <c r="Y46" s="7" t="b">
        <v>0</v>
      </c>
      <c r="Z46" s="6" t="n"/>
    </row>
    <row r="47">
      <c r="C47" s="6" t="n"/>
      <c r="E47" s="7" t="n"/>
      <c r="J47" s="8">
        <f>IF($I47="","",IFERROR(VLOOKUP($I47,Listas!$A$2:$B$100,2,FALSE),"—"))</f>
        <v/>
      </c>
      <c r="M47" s="7" t="b">
        <v>0</v>
      </c>
      <c r="N47" s="6" t="n"/>
      <c r="O47" s="9">
        <f>IF($N47="","",WORKDAY($N47,5,Listas!$O$2:$O$200))</f>
        <v/>
      </c>
      <c r="P47" s="10">
        <f>IF($O47="","",IF($O47&gt;=TODAY(),NETWORKDAYS(TODAY(),$O47,Listas!$O$2:$O$200)-1,NETWORKDAYS(TODAY(),$O47,Listas!$O$2:$O$200)+1))</f>
        <v/>
      </c>
      <c r="Q47" s="11">
        <f>IF($O47="","",IF($R47="Finalizado","Concluído",IF($R47="Usuário desistiu","Encerrado",IF($P47&lt;0,"Atrasado",IF($P47=0,"Vence hoje","No prazo")))))</f>
        <v/>
      </c>
      <c r="S47" s="7" t="b">
        <v>0</v>
      </c>
      <c r="T47" s="6" t="n"/>
      <c r="U47" s="12">
        <f>IF(COUNTIF(Checklist!$A$2:$A$3000,$A47)=0,"",COUNTIFS(Checklist!$A$2:$A$3000,$A47,Checklist!$C$2:$C$3000,TRUE)/COUNTIF(Checklist!$A$2:$A$3000,$A47))</f>
        <v/>
      </c>
      <c r="V47" s="6" t="n"/>
      <c r="Y47" s="7" t="b">
        <v>0</v>
      </c>
      <c r="Z47" s="6" t="n"/>
    </row>
    <row r="48">
      <c r="C48" s="6" t="n"/>
      <c r="E48" s="7" t="n"/>
      <c r="J48" s="8">
        <f>IF($I48="","",IFERROR(VLOOKUP($I48,Listas!$A$2:$B$100,2,FALSE),"—"))</f>
        <v/>
      </c>
      <c r="M48" s="7" t="b">
        <v>0</v>
      </c>
      <c r="N48" s="6" t="n"/>
      <c r="O48" s="9">
        <f>IF($N48="","",WORKDAY($N48,5,Listas!$O$2:$O$200))</f>
        <v/>
      </c>
      <c r="P48" s="10">
        <f>IF($O48="","",IF($O48&gt;=TODAY(),NETWORKDAYS(TODAY(),$O48,Listas!$O$2:$O$200)-1,NETWORKDAYS(TODAY(),$O48,Listas!$O$2:$O$200)+1))</f>
        <v/>
      </c>
      <c r="Q48" s="11">
        <f>IF($O48="","",IF($R48="Finalizado","Concluído",IF($R48="Usuário desistiu","Encerrado",IF($P48&lt;0,"Atrasado",IF($P48=0,"Vence hoje","No prazo")))))</f>
        <v/>
      </c>
      <c r="S48" s="7" t="b">
        <v>0</v>
      </c>
      <c r="T48" s="6" t="n"/>
      <c r="U48" s="12">
        <f>IF(COUNTIF(Checklist!$A$2:$A$3000,$A48)=0,"",COUNTIFS(Checklist!$A$2:$A$3000,$A48,Checklist!$C$2:$C$3000,TRUE)/COUNTIF(Checklist!$A$2:$A$3000,$A48))</f>
        <v/>
      </c>
      <c r="V48" s="6" t="n"/>
      <c r="Y48" s="7" t="b">
        <v>0</v>
      </c>
      <c r="Z48" s="6" t="n"/>
    </row>
    <row r="49">
      <c r="C49" s="6" t="n"/>
      <c r="E49" s="7" t="n"/>
      <c r="J49" s="8">
        <f>IF($I49="","",IFERROR(VLOOKUP($I49,Listas!$A$2:$B$100,2,FALSE),"—"))</f>
        <v/>
      </c>
      <c r="M49" s="7" t="b">
        <v>0</v>
      </c>
      <c r="N49" s="6" t="n"/>
      <c r="O49" s="9">
        <f>IF($N49="","",WORKDAY($N49,5,Listas!$O$2:$O$200))</f>
        <v/>
      </c>
      <c r="P49" s="10">
        <f>IF($O49="","",IF($O49&gt;=TODAY(),NETWORKDAYS(TODAY(),$O49,Listas!$O$2:$O$200)-1,NETWORKDAYS(TODAY(),$O49,Listas!$O$2:$O$200)+1))</f>
        <v/>
      </c>
      <c r="Q49" s="11">
        <f>IF($O49="","",IF($R49="Finalizado","Concluído",IF($R49="Usuário desistiu","Encerrado",IF($P49&lt;0,"Atrasado",IF($P49=0,"Vence hoje","No prazo")))))</f>
        <v/>
      </c>
      <c r="S49" s="7" t="b">
        <v>0</v>
      </c>
      <c r="T49" s="6" t="n"/>
      <c r="U49" s="12">
        <f>IF(COUNTIF(Checklist!$A$2:$A$3000,$A49)=0,"",COUNTIFS(Checklist!$A$2:$A$3000,$A49,Checklist!$C$2:$C$3000,TRUE)/COUNTIF(Checklist!$A$2:$A$3000,$A49))</f>
        <v/>
      </c>
      <c r="V49" s="6" t="n"/>
      <c r="Y49" s="7" t="b">
        <v>0</v>
      </c>
      <c r="Z49" s="6" t="n"/>
    </row>
    <row r="50">
      <c r="C50" s="6" t="n"/>
      <c r="E50" s="7" t="n"/>
      <c r="J50" s="8">
        <f>IF($I50="","",IFERROR(VLOOKUP($I50,Listas!$A$2:$B$100,2,FALSE),"—"))</f>
        <v/>
      </c>
      <c r="M50" s="7" t="b">
        <v>0</v>
      </c>
      <c r="N50" s="6" t="n"/>
      <c r="O50" s="9">
        <f>IF($N50="","",WORKDAY($N50,5,Listas!$O$2:$O$200))</f>
        <v/>
      </c>
      <c r="P50" s="10">
        <f>IF($O50="","",IF($O50&gt;=TODAY(),NETWORKDAYS(TODAY(),$O50,Listas!$O$2:$O$200)-1,NETWORKDAYS(TODAY(),$O50,Listas!$O$2:$O$200)+1))</f>
        <v/>
      </c>
      <c r="Q50" s="11">
        <f>IF($O50="","",IF($R50="Finalizado","Concluído",IF($R50="Usuário desistiu","Encerrado",IF($P50&lt;0,"Atrasado",IF($P50=0,"Vence hoje","No prazo")))))</f>
        <v/>
      </c>
      <c r="S50" s="7" t="b">
        <v>0</v>
      </c>
      <c r="T50" s="6" t="n"/>
      <c r="U50" s="12">
        <f>IF(COUNTIF(Checklist!$A$2:$A$3000,$A50)=0,"",COUNTIFS(Checklist!$A$2:$A$3000,$A50,Checklist!$C$2:$C$3000,TRUE)/COUNTIF(Checklist!$A$2:$A$3000,$A50))</f>
        <v/>
      </c>
      <c r="V50" s="6" t="n"/>
      <c r="Y50" s="7" t="b">
        <v>0</v>
      </c>
      <c r="Z50" s="6" t="n"/>
    </row>
    <row r="51">
      <c r="C51" s="6" t="n"/>
      <c r="E51" s="7" t="n"/>
      <c r="J51" s="8">
        <f>IF($I51="","",IFERROR(VLOOKUP($I51,Listas!$A$2:$B$100,2,FALSE),"—"))</f>
        <v/>
      </c>
      <c r="M51" s="7" t="b">
        <v>0</v>
      </c>
      <c r="N51" s="6" t="n"/>
      <c r="O51" s="9">
        <f>IF($N51="","",WORKDAY($N51,5,Listas!$O$2:$O$200))</f>
        <v/>
      </c>
      <c r="P51" s="10">
        <f>IF($O51="","",IF($O51&gt;=TODAY(),NETWORKDAYS(TODAY(),$O51,Listas!$O$2:$O$200)-1,NETWORKDAYS(TODAY(),$O51,Listas!$O$2:$O$200)+1))</f>
        <v/>
      </c>
      <c r="Q51" s="11">
        <f>IF($O51="","",IF($R51="Finalizado","Concluído",IF($R51="Usuário desistiu","Encerrado",IF($P51&lt;0,"Atrasado",IF($P51=0,"Vence hoje","No prazo")))))</f>
        <v/>
      </c>
      <c r="S51" s="7" t="b">
        <v>0</v>
      </c>
      <c r="T51" s="6" t="n"/>
      <c r="U51" s="12">
        <f>IF(COUNTIF(Checklist!$A$2:$A$3000,$A51)=0,"",COUNTIFS(Checklist!$A$2:$A$3000,$A51,Checklist!$C$2:$C$3000,TRUE)/COUNTIF(Checklist!$A$2:$A$3000,$A51))</f>
        <v/>
      </c>
      <c r="V51" s="6" t="n"/>
      <c r="Y51" s="7" t="b">
        <v>0</v>
      </c>
      <c r="Z51" s="6" t="n"/>
    </row>
    <row r="52">
      <c r="C52" s="6" t="n"/>
      <c r="E52" s="7" t="n"/>
      <c r="J52" s="8">
        <f>IF($I52="","",IFERROR(VLOOKUP($I52,Listas!$A$2:$B$100,2,FALSE),"—"))</f>
        <v/>
      </c>
      <c r="M52" s="7" t="b">
        <v>0</v>
      </c>
      <c r="N52" s="6" t="n"/>
      <c r="O52" s="9">
        <f>IF($N52="","",WORKDAY($N52,5,Listas!$O$2:$O$200))</f>
        <v/>
      </c>
      <c r="P52" s="10">
        <f>IF($O52="","",IF($O52&gt;=TODAY(),NETWORKDAYS(TODAY(),$O52,Listas!$O$2:$O$200)-1,NETWORKDAYS(TODAY(),$O52,Listas!$O$2:$O$200)+1))</f>
        <v/>
      </c>
      <c r="Q52" s="11">
        <f>IF($O52="","",IF($R52="Finalizado","Concluído",IF($R52="Usuário desistiu","Encerrado",IF($P52&lt;0,"Atrasado",IF($P52=0,"Vence hoje","No prazo")))))</f>
        <v/>
      </c>
      <c r="S52" s="7" t="b">
        <v>0</v>
      </c>
      <c r="T52" s="6" t="n"/>
      <c r="U52" s="12">
        <f>IF(COUNTIF(Checklist!$A$2:$A$3000,$A52)=0,"",COUNTIFS(Checklist!$A$2:$A$3000,$A52,Checklist!$C$2:$C$3000,TRUE)/COUNTIF(Checklist!$A$2:$A$3000,$A52))</f>
        <v/>
      </c>
      <c r="V52" s="6" t="n"/>
      <c r="Y52" s="7" t="b">
        <v>0</v>
      </c>
      <c r="Z52" s="6" t="n"/>
    </row>
    <row r="53">
      <c r="C53" s="6" t="n"/>
      <c r="E53" s="7" t="n"/>
      <c r="J53" s="8">
        <f>IF($I53="","",IFERROR(VLOOKUP($I53,Listas!$A$2:$B$100,2,FALSE),"—"))</f>
        <v/>
      </c>
      <c r="M53" s="7" t="b">
        <v>0</v>
      </c>
      <c r="N53" s="6" t="n"/>
      <c r="O53" s="9">
        <f>IF($N53="","",WORKDAY($N53,5,Listas!$O$2:$O$200))</f>
        <v/>
      </c>
      <c r="P53" s="10">
        <f>IF($O53="","",IF($O53&gt;=TODAY(),NETWORKDAYS(TODAY(),$O53,Listas!$O$2:$O$200)-1,NETWORKDAYS(TODAY(),$O53,Listas!$O$2:$O$200)+1))</f>
        <v/>
      </c>
      <c r="Q53" s="11">
        <f>IF($O53="","",IF($R53="Finalizado","Concluído",IF($R53="Usuário desistiu","Encerrado",IF($P53&lt;0,"Atrasado",IF($P53=0,"Vence hoje","No prazo")))))</f>
        <v/>
      </c>
      <c r="S53" s="7" t="b">
        <v>0</v>
      </c>
      <c r="T53" s="6" t="n"/>
      <c r="U53" s="12">
        <f>IF(COUNTIF(Checklist!$A$2:$A$3000,$A53)=0,"",COUNTIFS(Checklist!$A$2:$A$3000,$A53,Checklist!$C$2:$C$3000,TRUE)/COUNTIF(Checklist!$A$2:$A$3000,$A53))</f>
        <v/>
      </c>
      <c r="V53" s="6" t="n"/>
      <c r="Y53" s="7" t="b">
        <v>0</v>
      </c>
      <c r="Z53" s="6" t="n"/>
    </row>
    <row r="54">
      <c r="C54" s="6" t="n"/>
      <c r="E54" s="7" t="n"/>
      <c r="J54" s="8">
        <f>IF($I54="","",IFERROR(VLOOKUP($I54,Listas!$A$2:$B$100,2,FALSE),"—"))</f>
        <v/>
      </c>
      <c r="M54" s="7" t="b">
        <v>0</v>
      </c>
      <c r="N54" s="6" t="n"/>
      <c r="O54" s="9">
        <f>IF($N54="","",WORKDAY($N54,5,Listas!$O$2:$O$200))</f>
        <v/>
      </c>
      <c r="P54" s="10">
        <f>IF($O54="","",IF($O54&gt;=TODAY(),NETWORKDAYS(TODAY(),$O54,Listas!$O$2:$O$200)-1,NETWORKDAYS(TODAY(),$O54,Listas!$O$2:$O$200)+1))</f>
        <v/>
      </c>
      <c r="Q54" s="11">
        <f>IF($O54="","",IF($R54="Finalizado","Concluído",IF($R54="Usuário desistiu","Encerrado",IF($P54&lt;0,"Atrasado",IF($P54=0,"Vence hoje","No prazo")))))</f>
        <v/>
      </c>
      <c r="S54" s="7" t="b">
        <v>0</v>
      </c>
      <c r="T54" s="6" t="n"/>
      <c r="U54" s="12">
        <f>IF(COUNTIF(Checklist!$A$2:$A$3000,$A54)=0,"",COUNTIFS(Checklist!$A$2:$A$3000,$A54,Checklist!$C$2:$C$3000,TRUE)/COUNTIF(Checklist!$A$2:$A$3000,$A54))</f>
        <v/>
      </c>
      <c r="V54" s="6" t="n"/>
      <c r="Y54" s="7" t="b">
        <v>0</v>
      </c>
      <c r="Z54" s="6" t="n"/>
    </row>
    <row r="55">
      <c r="C55" s="6" t="n"/>
      <c r="E55" s="7" t="n"/>
      <c r="J55" s="8">
        <f>IF($I55="","",IFERROR(VLOOKUP($I55,Listas!$A$2:$B$100,2,FALSE),"—"))</f>
        <v/>
      </c>
      <c r="M55" s="7" t="b">
        <v>0</v>
      </c>
      <c r="N55" s="6" t="n"/>
      <c r="O55" s="9">
        <f>IF($N55="","",WORKDAY($N55,5,Listas!$O$2:$O$200))</f>
        <v/>
      </c>
      <c r="P55" s="10">
        <f>IF($O55="","",IF($O55&gt;=TODAY(),NETWORKDAYS(TODAY(),$O55,Listas!$O$2:$O$200)-1,NETWORKDAYS(TODAY(),$O55,Listas!$O$2:$O$200)+1))</f>
        <v/>
      </c>
      <c r="Q55" s="11">
        <f>IF($O55="","",IF($R55="Finalizado","Concluído",IF($R55="Usuário desistiu","Encerrado",IF($P55&lt;0,"Atrasado",IF($P55=0,"Vence hoje","No prazo")))))</f>
        <v/>
      </c>
      <c r="S55" s="7" t="b">
        <v>0</v>
      </c>
      <c r="T55" s="6" t="n"/>
      <c r="U55" s="12">
        <f>IF(COUNTIF(Checklist!$A$2:$A$3000,$A55)=0,"",COUNTIFS(Checklist!$A$2:$A$3000,$A55,Checklist!$C$2:$C$3000,TRUE)/COUNTIF(Checklist!$A$2:$A$3000,$A55))</f>
        <v/>
      </c>
      <c r="V55" s="6" t="n"/>
      <c r="Y55" s="7" t="b">
        <v>0</v>
      </c>
      <c r="Z55" s="6" t="n"/>
    </row>
    <row r="56">
      <c r="C56" s="6" t="n"/>
      <c r="E56" s="7" t="n"/>
      <c r="J56" s="8">
        <f>IF($I56="","",IFERROR(VLOOKUP($I56,Listas!$A$2:$B$100,2,FALSE),"—"))</f>
        <v/>
      </c>
      <c r="M56" s="7" t="b">
        <v>0</v>
      </c>
      <c r="N56" s="6" t="n"/>
      <c r="O56" s="9">
        <f>IF($N56="","",WORKDAY($N56,5,Listas!$O$2:$O$200))</f>
        <v/>
      </c>
      <c r="P56" s="10">
        <f>IF($O56="","",IF($O56&gt;=TODAY(),NETWORKDAYS(TODAY(),$O56,Listas!$O$2:$O$200)-1,NETWORKDAYS(TODAY(),$O56,Listas!$O$2:$O$200)+1))</f>
        <v/>
      </c>
      <c r="Q56" s="11">
        <f>IF($O56="","",IF($R56="Finalizado","Concluído",IF($R56="Usuário desistiu","Encerrado",IF($P56&lt;0,"Atrasado",IF($P56=0,"Vence hoje","No prazo")))))</f>
        <v/>
      </c>
      <c r="S56" s="7" t="b">
        <v>0</v>
      </c>
      <c r="T56" s="6" t="n"/>
      <c r="U56" s="12">
        <f>IF(COUNTIF(Checklist!$A$2:$A$3000,$A56)=0,"",COUNTIFS(Checklist!$A$2:$A$3000,$A56,Checklist!$C$2:$C$3000,TRUE)/COUNTIF(Checklist!$A$2:$A$3000,$A56))</f>
        <v/>
      </c>
      <c r="V56" s="6" t="n"/>
      <c r="Y56" s="7" t="b">
        <v>0</v>
      </c>
      <c r="Z56" s="6" t="n"/>
    </row>
    <row r="57">
      <c r="C57" s="6" t="n"/>
      <c r="E57" s="7" t="n"/>
      <c r="J57" s="8">
        <f>IF($I57="","",IFERROR(VLOOKUP($I57,Listas!$A$2:$B$100,2,FALSE),"—"))</f>
        <v/>
      </c>
      <c r="M57" s="7" t="b">
        <v>0</v>
      </c>
      <c r="N57" s="6" t="n"/>
      <c r="O57" s="9">
        <f>IF($N57="","",WORKDAY($N57,5,Listas!$O$2:$O$200))</f>
        <v/>
      </c>
      <c r="P57" s="10">
        <f>IF($O57="","",IF($O57&gt;=TODAY(),NETWORKDAYS(TODAY(),$O57,Listas!$O$2:$O$200)-1,NETWORKDAYS(TODAY(),$O57,Listas!$O$2:$O$200)+1))</f>
        <v/>
      </c>
      <c r="Q57" s="11">
        <f>IF($O57="","",IF($R57="Finalizado","Concluído",IF($R57="Usuário desistiu","Encerrado",IF($P57&lt;0,"Atrasado",IF($P57=0,"Vence hoje","No prazo")))))</f>
        <v/>
      </c>
      <c r="S57" s="7" t="b">
        <v>0</v>
      </c>
      <c r="T57" s="6" t="n"/>
      <c r="U57" s="12">
        <f>IF(COUNTIF(Checklist!$A$2:$A$3000,$A57)=0,"",COUNTIFS(Checklist!$A$2:$A$3000,$A57,Checklist!$C$2:$C$3000,TRUE)/COUNTIF(Checklist!$A$2:$A$3000,$A57))</f>
        <v/>
      </c>
      <c r="V57" s="6" t="n"/>
      <c r="Y57" s="7" t="b">
        <v>0</v>
      </c>
      <c r="Z57" s="6" t="n"/>
    </row>
    <row r="58">
      <c r="C58" s="6" t="n"/>
      <c r="E58" s="7" t="n"/>
      <c r="J58" s="8">
        <f>IF($I58="","",IFERROR(VLOOKUP($I58,Listas!$A$2:$B$100,2,FALSE),"—"))</f>
        <v/>
      </c>
      <c r="M58" s="7" t="b">
        <v>0</v>
      </c>
      <c r="N58" s="6" t="n"/>
      <c r="O58" s="9">
        <f>IF($N58="","",WORKDAY($N58,5,Listas!$O$2:$O$200))</f>
        <v/>
      </c>
      <c r="P58" s="10">
        <f>IF($O58="","",IF($O58&gt;=TODAY(),NETWORKDAYS(TODAY(),$O58,Listas!$O$2:$O$200)-1,NETWORKDAYS(TODAY(),$O58,Listas!$O$2:$O$200)+1))</f>
        <v/>
      </c>
      <c r="Q58" s="11">
        <f>IF($O58="","",IF($R58="Finalizado","Concluído",IF($R58="Usuário desistiu","Encerrado",IF($P58&lt;0,"Atrasado",IF($P58=0,"Vence hoje","No prazo")))))</f>
        <v/>
      </c>
      <c r="S58" s="7" t="b">
        <v>0</v>
      </c>
      <c r="T58" s="6" t="n"/>
      <c r="U58" s="12">
        <f>IF(COUNTIF(Checklist!$A$2:$A$3000,$A58)=0,"",COUNTIFS(Checklist!$A$2:$A$3000,$A58,Checklist!$C$2:$C$3000,TRUE)/COUNTIF(Checklist!$A$2:$A$3000,$A58))</f>
        <v/>
      </c>
      <c r="V58" s="6" t="n"/>
      <c r="Y58" s="7" t="b">
        <v>0</v>
      </c>
      <c r="Z58" s="6" t="n"/>
    </row>
    <row r="59">
      <c r="C59" s="6" t="n"/>
      <c r="E59" s="7" t="n"/>
      <c r="J59" s="8">
        <f>IF($I59="","",IFERROR(VLOOKUP($I59,Listas!$A$2:$B$100,2,FALSE),"—"))</f>
        <v/>
      </c>
      <c r="M59" s="7" t="b">
        <v>0</v>
      </c>
      <c r="N59" s="6" t="n"/>
      <c r="O59" s="9">
        <f>IF($N59="","",WORKDAY($N59,5,Listas!$O$2:$O$200))</f>
        <v/>
      </c>
      <c r="P59" s="10">
        <f>IF($O59="","",IF($O59&gt;=TODAY(),NETWORKDAYS(TODAY(),$O59,Listas!$O$2:$O$200)-1,NETWORKDAYS(TODAY(),$O59,Listas!$O$2:$O$200)+1))</f>
        <v/>
      </c>
      <c r="Q59" s="11">
        <f>IF($O59="","",IF($R59="Finalizado","Concluído",IF($R59="Usuário desistiu","Encerrado",IF($P59&lt;0,"Atrasado",IF($P59=0,"Vence hoje","No prazo")))))</f>
        <v/>
      </c>
      <c r="S59" s="7" t="b">
        <v>0</v>
      </c>
      <c r="T59" s="6" t="n"/>
      <c r="U59" s="12">
        <f>IF(COUNTIF(Checklist!$A$2:$A$3000,$A59)=0,"",COUNTIFS(Checklist!$A$2:$A$3000,$A59,Checklist!$C$2:$C$3000,TRUE)/COUNTIF(Checklist!$A$2:$A$3000,$A59))</f>
        <v/>
      </c>
      <c r="V59" s="6" t="n"/>
      <c r="Y59" s="7" t="b">
        <v>0</v>
      </c>
      <c r="Z59" s="6" t="n"/>
    </row>
    <row r="60">
      <c r="C60" s="6" t="n"/>
      <c r="E60" s="7" t="n"/>
      <c r="J60" s="8">
        <f>IF($I60="","",IFERROR(VLOOKUP($I60,Listas!$A$2:$B$100,2,FALSE),"—"))</f>
        <v/>
      </c>
      <c r="M60" s="7" t="b">
        <v>0</v>
      </c>
      <c r="N60" s="6" t="n"/>
      <c r="O60" s="9">
        <f>IF($N60="","",WORKDAY($N60,5,Listas!$O$2:$O$200))</f>
        <v/>
      </c>
      <c r="P60" s="10">
        <f>IF($O60="","",IF($O60&gt;=TODAY(),NETWORKDAYS(TODAY(),$O60,Listas!$O$2:$O$200)-1,NETWORKDAYS(TODAY(),$O60,Listas!$O$2:$O$200)+1))</f>
        <v/>
      </c>
      <c r="Q60" s="11">
        <f>IF($O60="","",IF($R60="Finalizado","Concluído",IF($R60="Usuário desistiu","Encerrado",IF($P60&lt;0,"Atrasado",IF($P60=0,"Vence hoje","No prazo")))))</f>
        <v/>
      </c>
      <c r="S60" s="7" t="b">
        <v>0</v>
      </c>
      <c r="T60" s="6" t="n"/>
      <c r="U60" s="12">
        <f>IF(COUNTIF(Checklist!$A$2:$A$3000,$A60)=0,"",COUNTIFS(Checklist!$A$2:$A$3000,$A60,Checklist!$C$2:$C$3000,TRUE)/COUNTIF(Checklist!$A$2:$A$3000,$A60))</f>
        <v/>
      </c>
      <c r="V60" s="6" t="n"/>
      <c r="Y60" s="7" t="b">
        <v>0</v>
      </c>
      <c r="Z60" s="6" t="n"/>
    </row>
    <row r="61">
      <c r="C61" s="6" t="n"/>
      <c r="E61" s="7" t="n"/>
      <c r="J61" s="8">
        <f>IF($I61="","",IFERROR(VLOOKUP($I61,Listas!$A$2:$B$100,2,FALSE),"—"))</f>
        <v/>
      </c>
      <c r="M61" s="7" t="b">
        <v>0</v>
      </c>
      <c r="N61" s="6" t="n"/>
      <c r="O61" s="9">
        <f>IF($N61="","",WORKDAY($N61,5,Listas!$O$2:$O$200))</f>
        <v/>
      </c>
      <c r="P61" s="10">
        <f>IF($O61="","",IF($O61&gt;=TODAY(),NETWORKDAYS(TODAY(),$O61,Listas!$O$2:$O$200)-1,NETWORKDAYS(TODAY(),$O61,Listas!$O$2:$O$200)+1))</f>
        <v/>
      </c>
      <c r="Q61" s="11">
        <f>IF($O61="","",IF($R61="Finalizado","Concluído",IF($R61="Usuário desistiu","Encerrado",IF($P61&lt;0,"Atrasado",IF($P61=0,"Vence hoje","No prazo")))))</f>
        <v/>
      </c>
      <c r="S61" s="7" t="b">
        <v>0</v>
      </c>
      <c r="T61" s="6" t="n"/>
      <c r="U61" s="12">
        <f>IF(COUNTIF(Checklist!$A$2:$A$3000,$A61)=0,"",COUNTIFS(Checklist!$A$2:$A$3000,$A61,Checklist!$C$2:$C$3000,TRUE)/COUNTIF(Checklist!$A$2:$A$3000,$A61))</f>
        <v/>
      </c>
      <c r="V61" s="6" t="n"/>
      <c r="Y61" s="7" t="b">
        <v>0</v>
      </c>
      <c r="Z61" s="6" t="n"/>
    </row>
    <row r="62">
      <c r="C62" s="6" t="n"/>
      <c r="E62" s="7" t="n"/>
      <c r="J62" s="8">
        <f>IF($I62="","",IFERROR(VLOOKUP($I62,Listas!$A$2:$B$100,2,FALSE),"—"))</f>
        <v/>
      </c>
      <c r="M62" s="7" t="b">
        <v>0</v>
      </c>
      <c r="N62" s="6" t="n"/>
      <c r="O62" s="9">
        <f>IF($N62="","",WORKDAY($N62,5,Listas!$O$2:$O$200))</f>
        <v/>
      </c>
      <c r="P62" s="10">
        <f>IF($O62="","",IF($O62&gt;=TODAY(),NETWORKDAYS(TODAY(),$O62,Listas!$O$2:$O$200)-1,NETWORKDAYS(TODAY(),$O62,Listas!$O$2:$O$200)+1))</f>
        <v/>
      </c>
      <c r="Q62" s="11">
        <f>IF($O62="","",IF($R62="Finalizado","Concluído",IF($R62="Usuário desistiu","Encerrado",IF($P62&lt;0,"Atrasado",IF($P62=0,"Vence hoje","No prazo")))))</f>
        <v/>
      </c>
      <c r="S62" s="7" t="b">
        <v>0</v>
      </c>
      <c r="T62" s="6" t="n"/>
      <c r="U62" s="12">
        <f>IF(COUNTIF(Checklist!$A$2:$A$3000,$A62)=0,"",COUNTIFS(Checklist!$A$2:$A$3000,$A62,Checklist!$C$2:$C$3000,TRUE)/COUNTIF(Checklist!$A$2:$A$3000,$A62))</f>
        <v/>
      </c>
      <c r="V62" s="6" t="n"/>
      <c r="Y62" s="7" t="b">
        <v>0</v>
      </c>
      <c r="Z62" s="6" t="n"/>
    </row>
    <row r="63">
      <c r="C63" s="6" t="n"/>
      <c r="E63" s="7" t="n"/>
      <c r="J63" s="8">
        <f>IF($I63="","",IFERROR(VLOOKUP($I63,Listas!$A$2:$B$100,2,FALSE),"—"))</f>
        <v/>
      </c>
      <c r="M63" s="7" t="b">
        <v>0</v>
      </c>
      <c r="N63" s="6" t="n"/>
      <c r="O63" s="9">
        <f>IF($N63="","",WORKDAY($N63,5,Listas!$O$2:$O$200))</f>
        <v/>
      </c>
      <c r="P63" s="10">
        <f>IF($O63="","",IF($O63&gt;=TODAY(),NETWORKDAYS(TODAY(),$O63,Listas!$O$2:$O$200)-1,NETWORKDAYS(TODAY(),$O63,Listas!$O$2:$O$200)+1))</f>
        <v/>
      </c>
      <c r="Q63" s="11">
        <f>IF($O63="","",IF($R63="Finalizado","Concluído",IF($R63="Usuário desistiu","Encerrado",IF($P63&lt;0,"Atrasado",IF($P63=0,"Vence hoje","No prazo")))))</f>
        <v/>
      </c>
      <c r="S63" s="7" t="b">
        <v>0</v>
      </c>
      <c r="T63" s="6" t="n"/>
      <c r="U63" s="12">
        <f>IF(COUNTIF(Checklist!$A$2:$A$3000,$A63)=0,"",COUNTIFS(Checklist!$A$2:$A$3000,$A63,Checklist!$C$2:$C$3000,TRUE)/COUNTIF(Checklist!$A$2:$A$3000,$A63))</f>
        <v/>
      </c>
      <c r="V63" s="6" t="n"/>
      <c r="Y63" s="7" t="b">
        <v>0</v>
      </c>
      <c r="Z63" s="6" t="n"/>
    </row>
    <row r="64">
      <c r="C64" s="6" t="n"/>
      <c r="E64" s="7" t="n"/>
      <c r="J64" s="8">
        <f>IF($I64="","",IFERROR(VLOOKUP($I64,Listas!$A$2:$B$100,2,FALSE),"—"))</f>
        <v/>
      </c>
      <c r="M64" s="7" t="b">
        <v>0</v>
      </c>
      <c r="N64" s="6" t="n"/>
      <c r="O64" s="9">
        <f>IF($N64="","",WORKDAY($N64,5,Listas!$O$2:$O$200))</f>
        <v/>
      </c>
      <c r="P64" s="10">
        <f>IF($O64="","",IF($O64&gt;=TODAY(),NETWORKDAYS(TODAY(),$O64,Listas!$O$2:$O$200)-1,NETWORKDAYS(TODAY(),$O64,Listas!$O$2:$O$200)+1))</f>
        <v/>
      </c>
      <c r="Q64" s="11">
        <f>IF($O64="","",IF($R64="Finalizado","Concluído",IF($R64="Usuário desistiu","Encerrado",IF($P64&lt;0,"Atrasado",IF($P64=0,"Vence hoje","No prazo")))))</f>
        <v/>
      </c>
      <c r="S64" s="7" t="b">
        <v>0</v>
      </c>
      <c r="T64" s="6" t="n"/>
      <c r="U64" s="12">
        <f>IF(COUNTIF(Checklist!$A$2:$A$3000,$A64)=0,"",COUNTIFS(Checklist!$A$2:$A$3000,$A64,Checklist!$C$2:$C$3000,TRUE)/COUNTIF(Checklist!$A$2:$A$3000,$A64))</f>
        <v/>
      </c>
      <c r="V64" s="6" t="n"/>
      <c r="Y64" s="7" t="b">
        <v>0</v>
      </c>
      <c r="Z64" s="6" t="n"/>
    </row>
    <row r="65">
      <c r="C65" s="6" t="n"/>
      <c r="E65" s="7" t="n"/>
      <c r="J65" s="8">
        <f>IF($I65="","",IFERROR(VLOOKUP($I65,Listas!$A$2:$B$100,2,FALSE),"—"))</f>
        <v/>
      </c>
      <c r="M65" s="7" t="b">
        <v>0</v>
      </c>
      <c r="N65" s="6" t="n"/>
      <c r="O65" s="9">
        <f>IF($N65="","",WORKDAY($N65,5,Listas!$O$2:$O$200))</f>
        <v/>
      </c>
      <c r="P65" s="10">
        <f>IF($O65="","",IF($O65&gt;=TODAY(),NETWORKDAYS(TODAY(),$O65,Listas!$O$2:$O$200)-1,NETWORKDAYS(TODAY(),$O65,Listas!$O$2:$O$200)+1))</f>
        <v/>
      </c>
      <c r="Q65" s="11">
        <f>IF($O65="","",IF($R65="Finalizado","Concluído",IF($R65="Usuário desistiu","Encerrado",IF($P65&lt;0,"Atrasado",IF($P65=0,"Vence hoje","No prazo")))))</f>
        <v/>
      </c>
      <c r="S65" s="7" t="b">
        <v>0</v>
      </c>
      <c r="T65" s="6" t="n"/>
      <c r="U65" s="12">
        <f>IF(COUNTIF(Checklist!$A$2:$A$3000,$A65)=0,"",COUNTIFS(Checklist!$A$2:$A$3000,$A65,Checklist!$C$2:$C$3000,TRUE)/COUNTIF(Checklist!$A$2:$A$3000,$A65))</f>
        <v/>
      </c>
      <c r="V65" s="6" t="n"/>
      <c r="Y65" s="7" t="b">
        <v>0</v>
      </c>
      <c r="Z65" s="6" t="n"/>
    </row>
    <row r="66">
      <c r="C66" s="6" t="n"/>
      <c r="E66" s="7" t="n"/>
      <c r="J66" s="8">
        <f>IF($I66="","",IFERROR(VLOOKUP($I66,Listas!$A$2:$B$100,2,FALSE),"—"))</f>
        <v/>
      </c>
      <c r="M66" s="7" t="b">
        <v>0</v>
      </c>
      <c r="N66" s="6" t="n"/>
      <c r="O66" s="9">
        <f>IF($N66="","",WORKDAY($N66,5,Listas!$O$2:$O$200))</f>
        <v/>
      </c>
      <c r="P66" s="10">
        <f>IF($O66="","",IF($O66&gt;=TODAY(),NETWORKDAYS(TODAY(),$O66,Listas!$O$2:$O$200)-1,NETWORKDAYS(TODAY(),$O66,Listas!$O$2:$O$200)+1))</f>
        <v/>
      </c>
      <c r="Q66" s="11">
        <f>IF($O66="","",IF($R66="Finalizado","Concluído",IF($R66="Usuário desistiu","Encerrado",IF($P66&lt;0,"Atrasado",IF($P66=0,"Vence hoje","No prazo")))))</f>
        <v/>
      </c>
      <c r="S66" s="7" t="b">
        <v>0</v>
      </c>
      <c r="T66" s="6" t="n"/>
      <c r="U66" s="12">
        <f>IF(COUNTIF(Checklist!$A$2:$A$3000,$A66)=0,"",COUNTIFS(Checklist!$A$2:$A$3000,$A66,Checklist!$C$2:$C$3000,TRUE)/COUNTIF(Checklist!$A$2:$A$3000,$A66))</f>
        <v/>
      </c>
      <c r="V66" s="6" t="n"/>
      <c r="Y66" s="7" t="b">
        <v>0</v>
      </c>
      <c r="Z66" s="6" t="n"/>
    </row>
    <row r="67">
      <c r="C67" s="6" t="n"/>
      <c r="E67" s="7" t="n"/>
      <c r="J67" s="8">
        <f>IF($I67="","",IFERROR(VLOOKUP($I67,Listas!$A$2:$B$100,2,FALSE),"—"))</f>
        <v/>
      </c>
      <c r="M67" s="7" t="b">
        <v>0</v>
      </c>
      <c r="N67" s="6" t="n"/>
      <c r="O67" s="9">
        <f>IF($N67="","",WORKDAY($N67,5,Listas!$O$2:$O$200))</f>
        <v/>
      </c>
      <c r="P67" s="10">
        <f>IF($O67="","",IF($O67&gt;=TODAY(),NETWORKDAYS(TODAY(),$O67,Listas!$O$2:$O$200)-1,NETWORKDAYS(TODAY(),$O67,Listas!$O$2:$O$200)+1))</f>
        <v/>
      </c>
      <c r="Q67" s="11">
        <f>IF($O67="","",IF($R67="Finalizado","Concluído",IF($R67="Usuário desistiu","Encerrado",IF($P67&lt;0,"Atrasado",IF($P67=0,"Vence hoje","No prazo")))))</f>
        <v/>
      </c>
      <c r="S67" s="7" t="b">
        <v>0</v>
      </c>
      <c r="T67" s="6" t="n"/>
      <c r="U67" s="12">
        <f>IF(COUNTIF(Checklist!$A$2:$A$3000,$A67)=0,"",COUNTIFS(Checklist!$A$2:$A$3000,$A67,Checklist!$C$2:$C$3000,TRUE)/COUNTIF(Checklist!$A$2:$A$3000,$A67))</f>
        <v/>
      </c>
      <c r="V67" s="6" t="n"/>
      <c r="Y67" s="7" t="b">
        <v>0</v>
      </c>
      <c r="Z67" s="6" t="n"/>
    </row>
    <row r="68">
      <c r="C68" s="6" t="n"/>
      <c r="E68" s="7" t="n"/>
      <c r="J68" s="8">
        <f>IF($I68="","",IFERROR(VLOOKUP($I68,Listas!$A$2:$B$100,2,FALSE),"—"))</f>
        <v/>
      </c>
      <c r="M68" s="7" t="b">
        <v>0</v>
      </c>
      <c r="N68" s="6" t="n"/>
      <c r="O68" s="9">
        <f>IF($N68="","",WORKDAY($N68,5,Listas!$O$2:$O$200))</f>
        <v/>
      </c>
      <c r="P68" s="10">
        <f>IF($O68="","",IF($O68&gt;=TODAY(),NETWORKDAYS(TODAY(),$O68,Listas!$O$2:$O$200)-1,NETWORKDAYS(TODAY(),$O68,Listas!$O$2:$O$200)+1))</f>
        <v/>
      </c>
      <c r="Q68" s="11">
        <f>IF($O68="","",IF($R68="Finalizado","Concluído",IF($R68="Usuário desistiu","Encerrado",IF($P68&lt;0,"Atrasado",IF($P68=0,"Vence hoje","No prazo")))))</f>
        <v/>
      </c>
      <c r="S68" s="7" t="b">
        <v>0</v>
      </c>
      <c r="T68" s="6" t="n"/>
      <c r="U68" s="12">
        <f>IF(COUNTIF(Checklist!$A$2:$A$3000,$A68)=0,"",COUNTIFS(Checklist!$A$2:$A$3000,$A68,Checklist!$C$2:$C$3000,TRUE)/COUNTIF(Checklist!$A$2:$A$3000,$A68))</f>
        <v/>
      </c>
      <c r="V68" s="6" t="n"/>
      <c r="Y68" s="7" t="b">
        <v>0</v>
      </c>
      <c r="Z68" s="6" t="n"/>
    </row>
    <row r="69">
      <c r="C69" s="6" t="n"/>
      <c r="E69" s="7" t="n"/>
      <c r="J69" s="8">
        <f>IF($I69="","",IFERROR(VLOOKUP($I69,Listas!$A$2:$B$100,2,FALSE),"—"))</f>
        <v/>
      </c>
      <c r="M69" s="7" t="b">
        <v>0</v>
      </c>
      <c r="N69" s="6" t="n"/>
      <c r="O69" s="9">
        <f>IF($N69="","",WORKDAY($N69,5,Listas!$O$2:$O$200))</f>
        <v/>
      </c>
      <c r="P69" s="10">
        <f>IF($O69="","",IF($O69&gt;=TODAY(),NETWORKDAYS(TODAY(),$O69,Listas!$O$2:$O$200)-1,NETWORKDAYS(TODAY(),$O69,Listas!$O$2:$O$200)+1))</f>
        <v/>
      </c>
      <c r="Q69" s="11">
        <f>IF($O69="","",IF($R69="Finalizado","Concluído",IF($R69="Usuário desistiu","Encerrado",IF($P69&lt;0,"Atrasado",IF($P69=0,"Vence hoje","No prazo")))))</f>
        <v/>
      </c>
      <c r="S69" s="7" t="b">
        <v>0</v>
      </c>
      <c r="T69" s="6" t="n"/>
      <c r="U69" s="12">
        <f>IF(COUNTIF(Checklist!$A$2:$A$3000,$A69)=0,"",COUNTIFS(Checklist!$A$2:$A$3000,$A69,Checklist!$C$2:$C$3000,TRUE)/COUNTIF(Checklist!$A$2:$A$3000,$A69))</f>
        <v/>
      </c>
      <c r="V69" s="6" t="n"/>
      <c r="Y69" s="7" t="b">
        <v>0</v>
      </c>
      <c r="Z69" s="6" t="n"/>
    </row>
    <row r="70">
      <c r="C70" s="6" t="n"/>
      <c r="E70" s="7" t="n"/>
      <c r="J70" s="8">
        <f>IF($I70="","",IFERROR(VLOOKUP($I70,Listas!$A$2:$B$100,2,FALSE),"—"))</f>
        <v/>
      </c>
      <c r="M70" s="7" t="b">
        <v>0</v>
      </c>
      <c r="N70" s="6" t="n"/>
      <c r="O70" s="9">
        <f>IF($N70="","",WORKDAY($N70,5,Listas!$O$2:$O$200))</f>
        <v/>
      </c>
      <c r="P70" s="10">
        <f>IF($O70="","",IF($O70&gt;=TODAY(),NETWORKDAYS(TODAY(),$O70,Listas!$O$2:$O$200)-1,NETWORKDAYS(TODAY(),$O70,Listas!$O$2:$O$200)+1))</f>
        <v/>
      </c>
      <c r="Q70" s="11">
        <f>IF($O70="","",IF($R70="Finalizado","Concluído",IF($R70="Usuário desistiu","Encerrado",IF($P70&lt;0,"Atrasado",IF($P70=0,"Vence hoje","No prazo")))))</f>
        <v/>
      </c>
      <c r="S70" s="7" t="b">
        <v>0</v>
      </c>
      <c r="T70" s="6" t="n"/>
      <c r="U70" s="12">
        <f>IF(COUNTIF(Checklist!$A$2:$A$3000,$A70)=0,"",COUNTIFS(Checklist!$A$2:$A$3000,$A70,Checklist!$C$2:$C$3000,TRUE)/COUNTIF(Checklist!$A$2:$A$3000,$A70))</f>
        <v/>
      </c>
      <c r="V70" s="6" t="n"/>
      <c r="Y70" s="7" t="b">
        <v>0</v>
      </c>
      <c r="Z70" s="6" t="n"/>
    </row>
    <row r="71">
      <c r="C71" s="6" t="n"/>
      <c r="E71" s="7" t="n"/>
      <c r="J71" s="8">
        <f>IF($I71="","",IFERROR(VLOOKUP($I71,Listas!$A$2:$B$100,2,FALSE),"—"))</f>
        <v/>
      </c>
      <c r="M71" s="7" t="b">
        <v>0</v>
      </c>
      <c r="N71" s="6" t="n"/>
      <c r="O71" s="9">
        <f>IF($N71="","",WORKDAY($N71,5,Listas!$O$2:$O$200))</f>
        <v/>
      </c>
      <c r="P71" s="10">
        <f>IF($O71="","",IF($O71&gt;=TODAY(),NETWORKDAYS(TODAY(),$O71,Listas!$O$2:$O$200)-1,NETWORKDAYS(TODAY(),$O71,Listas!$O$2:$O$200)+1))</f>
        <v/>
      </c>
      <c r="Q71" s="11">
        <f>IF($O71="","",IF($R71="Finalizado","Concluído",IF($R71="Usuário desistiu","Encerrado",IF($P71&lt;0,"Atrasado",IF($P71=0,"Vence hoje","No prazo")))))</f>
        <v/>
      </c>
      <c r="S71" s="7" t="b">
        <v>0</v>
      </c>
      <c r="T71" s="6" t="n"/>
      <c r="U71" s="12">
        <f>IF(COUNTIF(Checklist!$A$2:$A$3000,$A71)=0,"",COUNTIFS(Checklist!$A$2:$A$3000,$A71,Checklist!$C$2:$C$3000,TRUE)/COUNTIF(Checklist!$A$2:$A$3000,$A71))</f>
        <v/>
      </c>
      <c r="V71" s="6" t="n"/>
      <c r="Y71" s="7" t="b">
        <v>0</v>
      </c>
      <c r="Z71" s="6" t="n"/>
    </row>
    <row r="72">
      <c r="C72" s="6" t="n"/>
      <c r="E72" s="7" t="n"/>
      <c r="J72" s="8">
        <f>IF($I72="","",IFERROR(VLOOKUP($I72,Listas!$A$2:$B$100,2,FALSE),"—"))</f>
        <v/>
      </c>
      <c r="M72" s="7" t="b">
        <v>0</v>
      </c>
      <c r="N72" s="6" t="n"/>
      <c r="O72" s="9">
        <f>IF($N72="","",WORKDAY($N72,5,Listas!$O$2:$O$200))</f>
        <v/>
      </c>
      <c r="P72" s="10">
        <f>IF($O72="","",IF($O72&gt;=TODAY(),NETWORKDAYS(TODAY(),$O72,Listas!$O$2:$O$200)-1,NETWORKDAYS(TODAY(),$O72,Listas!$O$2:$O$200)+1))</f>
        <v/>
      </c>
      <c r="Q72" s="11">
        <f>IF($O72="","",IF($R72="Finalizado","Concluído",IF($R72="Usuário desistiu","Encerrado",IF($P72&lt;0,"Atrasado",IF($P72=0,"Vence hoje","No prazo")))))</f>
        <v/>
      </c>
      <c r="S72" s="7" t="b">
        <v>0</v>
      </c>
      <c r="T72" s="6" t="n"/>
      <c r="U72" s="12">
        <f>IF(COUNTIF(Checklist!$A$2:$A$3000,$A72)=0,"",COUNTIFS(Checklist!$A$2:$A$3000,$A72,Checklist!$C$2:$C$3000,TRUE)/COUNTIF(Checklist!$A$2:$A$3000,$A72))</f>
        <v/>
      </c>
      <c r="V72" s="6" t="n"/>
      <c r="Y72" s="7" t="b">
        <v>0</v>
      </c>
      <c r="Z72" s="6" t="n"/>
    </row>
    <row r="73">
      <c r="C73" s="6" t="n"/>
      <c r="E73" s="7" t="n"/>
      <c r="J73" s="8">
        <f>IF($I73="","",IFERROR(VLOOKUP($I73,Listas!$A$2:$B$100,2,FALSE),"—"))</f>
        <v/>
      </c>
      <c r="M73" s="7" t="b">
        <v>0</v>
      </c>
      <c r="N73" s="6" t="n"/>
      <c r="O73" s="9">
        <f>IF($N73="","",WORKDAY($N73,5,Listas!$O$2:$O$200))</f>
        <v/>
      </c>
      <c r="P73" s="10">
        <f>IF($O73="","",IF($O73&gt;=TODAY(),NETWORKDAYS(TODAY(),$O73,Listas!$O$2:$O$200)-1,NETWORKDAYS(TODAY(),$O73,Listas!$O$2:$O$200)+1))</f>
        <v/>
      </c>
      <c r="Q73" s="11">
        <f>IF($O73="","",IF($R73="Finalizado","Concluído",IF($R73="Usuário desistiu","Encerrado",IF($P73&lt;0,"Atrasado",IF($P73=0,"Vence hoje","No prazo")))))</f>
        <v/>
      </c>
      <c r="S73" s="7" t="b">
        <v>0</v>
      </c>
      <c r="T73" s="6" t="n"/>
      <c r="U73" s="12">
        <f>IF(COUNTIF(Checklist!$A$2:$A$3000,$A73)=0,"",COUNTIFS(Checklist!$A$2:$A$3000,$A73,Checklist!$C$2:$C$3000,TRUE)/COUNTIF(Checklist!$A$2:$A$3000,$A73))</f>
        <v/>
      </c>
      <c r="V73" s="6" t="n"/>
      <c r="Y73" s="7" t="b">
        <v>0</v>
      </c>
      <c r="Z73" s="6" t="n"/>
    </row>
    <row r="74">
      <c r="C74" s="6" t="n"/>
      <c r="E74" s="7" t="n"/>
      <c r="J74" s="8">
        <f>IF($I74="","",IFERROR(VLOOKUP($I74,Listas!$A$2:$B$100,2,FALSE),"—"))</f>
        <v/>
      </c>
      <c r="M74" s="7" t="b">
        <v>0</v>
      </c>
      <c r="N74" s="6" t="n"/>
      <c r="O74" s="9">
        <f>IF($N74="","",WORKDAY($N74,5,Listas!$O$2:$O$200))</f>
        <v/>
      </c>
      <c r="P74" s="10">
        <f>IF($O74="","",IF($O74&gt;=TODAY(),NETWORKDAYS(TODAY(),$O74,Listas!$O$2:$O$200)-1,NETWORKDAYS(TODAY(),$O74,Listas!$O$2:$O$200)+1))</f>
        <v/>
      </c>
      <c r="Q74" s="11">
        <f>IF($O74="","",IF($R74="Finalizado","Concluído",IF($R74="Usuário desistiu","Encerrado",IF($P74&lt;0,"Atrasado",IF($P74=0,"Vence hoje","No prazo")))))</f>
        <v/>
      </c>
      <c r="S74" s="7" t="b">
        <v>0</v>
      </c>
      <c r="T74" s="6" t="n"/>
      <c r="U74" s="12">
        <f>IF(COUNTIF(Checklist!$A$2:$A$3000,$A74)=0,"",COUNTIFS(Checklist!$A$2:$A$3000,$A74,Checklist!$C$2:$C$3000,TRUE)/COUNTIF(Checklist!$A$2:$A$3000,$A74))</f>
        <v/>
      </c>
      <c r="V74" s="6" t="n"/>
      <c r="Y74" s="7" t="b">
        <v>0</v>
      </c>
      <c r="Z74" s="6" t="n"/>
    </row>
    <row r="75">
      <c r="C75" s="6" t="n"/>
      <c r="E75" s="7" t="n"/>
      <c r="J75" s="8">
        <f>IF($I75="","",IFERROR(VLOOKUP($I75,Listas!$A$2:$B$100,2,FALSE),"—"))</f>
        <v/>
      </c>
      <c r="M75" s="7" t="b">
        <v>0</v>
      </c>
      <c r="N75" s="6" t="n"/>
      <c r="O75" s="9">
        <f>IF($N75="","",WORKDAY($N75,5,Listas!$O$2:$O$200))</f>
        <v/>
      </c>
      <c r="P75" s="10">
        <f>IF($O75="","",IF($O75&gt;=TODAY(),NETWORKDAYS(TODAY(),$O75,Listas!$O$2:$O$200)-1,NETWORKDAYS(TODAY(),$O75,Listas!$O$2:$O$200)+1))</f>
        <v/>
      </c>
      <c r="Q75" s="11">
        <f>IF($O75="","",IF($R75="Finalizado","Concluído",IF($R75="Usuário desistiu","Encerrado",IF($P75&lt;0,"Atrasado",IF($P75=0,"Vence hoje","No prazo")))))</f>
        <v/>
      </c>
      <c r="S75" s="7" t="b">
        <v>0</v>
      </c>
      <c r="T75" s="6" t="n"/>
      <c r="U75" s="12">
        <f>IF(COUNTIF(Checklist!$A$2:$A$3000,$A75)=0,"",COUNTIFS(Checklist!$A$2:$A$3000,$A75,Checklist!$C$2:$C$3000,TRUE)/COUNTIF(Checklist!$A$2:$A$3000,$A75))</f>
        <v/>
      </c>
      <c r="V75" s="6" t="n"/>
      <c r="Y75" s="7" t="b">
        <v>0</v>
      </c>
      <c r="Z75" s="6" t="n"/>
    </row>
    <row r="76">
      <c r="C76" s="6" t="n"/>
      <c r="E76" s="7" t="n"/>
      <c r="J76" s="8">
        <f>IF($I76="","",IFERROR(VLOOKUP($I76,Listas!$A$2:$B$100,2,FALSE),"—"))</f>
        <v/>
      </c>
      <c r="M76" s="7" t="b">
        <v>0</v>
      </c>
      <c r="N76" s="6" t="n"/>
      <c r="O76" s="9">
        <f>IF($N76="","",WORKDAY($N76,5,Listas!$O$2:$O$200))</f>
        <v/>
      </c>
      <c r="P76" s="10">
        <f>IF($O76="","",IF($O76&gt;=TODAY(),NETWORKDAYS(TODAY(),$O76,Listas!$O$2:$O$200)-1,NETWORKDAYS(TODAY(),$O76,Listas!$O$2:$O$200)+1))</f>
        <v/>
      </c>
      <c r="Q76" s="11">
        <f>IF($O76="","",IF($R76="Finalizado","Concluído",IF($R76="Usuário desistiu","Encerrado",IF($P76&lt;0,"Atrasado",IF($P76=0,"Vence hoje","No prazo")))))</f>
        <v/>
      </c>
      <c r="S76" s="7" t="b">
        <v>0</v>
      </c>
      <c r="T76" s="6" t="n"/>
      <c r="U76" s="12">
        <f>IF(COUNTIF(Checklist!$A$2:$A$3000,$A76)=0,"",COUNTIFS(Checklist!$A$2:$A$3000,$A76,Checklist!$C$2:$C$3000,TRUE)/COUNTIF(Checklist!$A$2:$A$3000,$A76))</f>
        <v/>
      </c>
      <c r="V76" s="6" t="n"/>
      <c r="Y76" s="7" t="b">
        <v>0</v>
      </c>
      <c r="Z76" s="6" t="n"/>
    </row>
    <row r="77">
      <c r="C77" s="6" t="n"/>
      <c r="E77" s="7" t="n"/>
      <c r="J77" s="8">
        <f>IF($I77="","",IFERROR(VLOOKUP($I77,Listas!$A$2:$B$100,2,FALSE),"—"))</f>
        <v/>
      </c>
      <c r="M77" s="7" t="b">
        <v>0</v>
      </c>
      <c r="N77" s="6" t="n"/>
      <c r="O77" s="9">
        <f>IF($N77="","",WORKDAY($N77,5,Listas!$O$2:$O$200))</f>
        <v/>
      </c>
      <c r="P77" s="10">
        <f>IF($O77="","",IF($O77&gt;=TODAY(),NETWORKDAYS(TODAY(),$O77,Listas!$O$2:$O$200)-1,NETWORKDAYS(TODAY(),$O77,Listas!$O$2:$O$200)+1))</f>
        <v/>
      </c>
      <c r="Q77" s="11">
        <f>IF($O77="","",IF($R77="Finalizado","Concluído",IF($R77="Usuário desistiu","Encerrado",IF($P77&lt;0,"Atrasado",IF($P77=0,"Vence hoje","No prazo")))))</f>
        <v/>
      </c>
      <c r="S77" s="7" t="b">
        <v>0</v>
      </c>
      <c r="T77" s="6" t="n"/>
      <c r="U77" s="12">
        <f>IF(COUNTIF(Checklist!$A$2:$A$3000,$A77)=0,"",COUNTIFS(Checklist!$A$2:$A$3000,$A77,Checklist!$C$2:$C$3000,TRUE)/COUNTIF(Checklist!$A$2:$A$3000,$A77))</f>
        <v/>
      </c>
      <c r="V77" s="6" t="n"/>
      <c r="Y77" s="7" t="b">
        <v>0</v>
      </c>
      <c r="Z77" s="6" t="n"/>
    </row>
    <row r="78">
      <c r="C78" s="6" t="n"/>
      <c r="E78" s="7" t="n"/>
      <c r="J78" s="8">
        <f>IF($I78="","",IFERROR(VLOOKUP($I78,Listas!$A$2:$B$100,2,FALSE),"—"))</f>
        <v/>
      </c>
      <c r="M78" s="7" t="b">
        <v>0</v>
      </c>
      <c r="N78" s="6" t="n"/>
      <c r="O78" s="9">
        <f>IF($N78="","",WORKDAY($N78,5,Listas!$O$2:$O$200))</f>
        <v/>
      </c>
      <c r="P78" s="10">
        <f>IF($O78="","",IF($O78&gt;=TODAY(),NETWORKDAYS(TODAY(),$O78,Listas!$O$2:$O$200)-1,NETWORKDAYS(TODAY(),$O78,Listas!$O$2:$O$200)+1))</f>
        <v/>
      </c>
      <c r="Q78" s="11">
        <f>IF($O78="","",IF($R78="Finalizado","Concluído",IF($R78="Usuário desistiu","Encerrado",IF($P78&lt;0,"Atrasado",IF($P78=0,"Vence hoje","No prazo")))))</f>
        <v/>
      </c>
      <c r="S78" s="7" t="b">
        <v>0</v>
      </c>
      <c r="T78" s="6" t="n"/>
      <c r="U78" s="12">
        <f>IF(COUNTIF(Checklist!$A$2:$A$3000,$A78)=0,"",COUNTIFS(Checklist!$A$2:$A$3000,$A78,Checklist!$C$2:$C$3000,TRUE)/COUNTIF(Checklist!$A$2:$A$3000,$A78))</f>
        <v/>
      </c>
      <c r="V78" s="6" t="n"/>
      <c r="Y78" s="7" t="b">
        <v>0</v>
      </c>
      <c r="Z78" s="6" t="n"/>
    </row>
    <row r="79">
      <c r="C79" s="6" t="n"/>
      <c r="E79" s="7" t="n"/>
      <c r="J79" s="8">
        <f>IF($I79="","",IFERROR(VLOOKUP($I79,Listas!$A$2:$B$100,2,FALSE),"—"))</f>
        <v/>
      </c>
      <c r="M79" s="7" t="b">
        <v>0</v>
      </c>
      <c r="N79" s="6" t="n"/>
      <c r="O79" s="9">
        <f>IF($N79="","",WORKDAY($N79,5,Listas!$O$2:$O$200))</f>
        <v/>
      </c>
      <c r="P79" s="10">
        <f>IF($O79="","",IF($O79&gt;=TODAY(),NETWORKDAYS(TODAY(),$O79,Listas!$O$2:$O$200)-1,NETWORKDAYS(TODAY(),$O79,Listas!$O$2:$O$200)+1))</f>
        <v/>
      </c>
      <c r="Q79" s="11">
        <f>IF($O79="","",IF($R79="Finalizado","Concluído",IF($R79="Usuário desistiu","Encerrado",IF($P79&lt;0,"Atrasado",IF($P79=0,"Vence hoje","No prazo")))))</f>
        <v/>
      </c>
      <c r="S79" s="7" t="b">
        <v>0</v>
      </c>
      <c r="T79" s="6" t="n"/>
      <c r="U79" s="12">
        <f>IF(COUNTIF(Checklist!$A$2:$A$3000,$A79)=0,"",COUNTIFS(Checklist!$A$2:$A$3000,$A79,Checklist!$C$2:$C$3000,TRUE)/COUNTIF(Checklist!$A$2:$A$3000,$A79))</f>
        <v/>
      </c>
      <c r="V79" s="6" t="n"/>
      <c r="Y79" s="7" t="b">
        <v>0</v>
      </c>
      <c r="Z79" s="6" t="n"/>
    </row>
    <row r="80">
      <c r="C80" s="6" t="n"/>
      <c r="E80" s="7" t="n"/>
      <c r="J80" s="8">
        <f>IF($I80="","",IFERROR(VLOOKUP($I80,Listas!$A$2:$B$100,2,FALSE),"—"))</f>
        <v/>
      </c>
      <c r="M80" s="7" t="b">
        <v>0</v>
      </c>
      <c r="N80" s="6" t="n"/>
      <c r="O80" s="9">
        <f>IF($N80="","",WORKDAY($N80,5,Listas!$O$2:$O$200))</f>
        <v/>
      </c>
      <c r="P80" s="10">
        <f>IF($O80="","",IF($O80&gt;=TODAY(),NETWORKDAYS(TODAY(),$O80,Listas!$O$2:$O$200)-1,NETWORKDAYS(TODAY(),$O80,Listas!$O$2:$O$200)+1))</f>
        <v/>
      </c>
      <c r="Q80" s="11">
        <f>IF($O80="","",IF($R80="Finalizado","Concluído",IF($R80="Usuário desistiu","Encerrado",IF($P80&lt;0,"Atrasado",IF($P80=0,"Vence hoje","No prazo")))))</f>
        <v/>
      </c>
      <c r="S80" s="7" t="b">
        <v>0</v>
      </c>
      <c r="T80" s="6" t="n"/>
      <c r="U80" s="12">
        <f>IF(COUNTIF(Checklist!$A$2:$A$3000,$A80)=0,"",COUNTIFS(Checklist!$A$2:$A$3000,$A80,Checklist!$C$2:$C$3000,TRUE)/COUNTIF(Checklist!$A$2:$A$3000,$A80))</f>
        <v/>
      </c>
      <c r="V80" s="6" t="n"/>
      <c r="Y80" s="7" t="b">
        <v>0</v>
      </c>
      <c r="Z80" s="6" t="n"/>
    </row>
    <row r="81">
      <c r="C81" s="6" t="n"/>
      <c r="E81" s="7" t="n"/>
      <c r="J81" s="8">
        <f>IF($I81="","",IFERROR(VLOOKUP($I81,Listas!$A$2:$B$100,2,FALSE),"—"))</f>
        <v/>
      </c>
      <c r="M81" s="7" t="b">
        <v>0</v>
      </c>
      <c r="N81" s="6" t="n"/>
      <c r="O81" s="9">
        <f>IF($N81="","",WORKDAY($N81,5,Listas!$O$2:$O$200))</f>
        <v/>
      </c>
      <c r="P81" s="10">
        <f>IF($O81="","",IF($O81&gt;=TODAY(),NETWORKDAYS(TODAY(),$O81,Listas!$O$2:$O$200)-1,NETWORKDAYS(TODAY(),$O81,Listas!$O$2:$O$200)+1))</f>
        <v/>
      </c>
      <c r="Q81" s="11">
        <f>IF($O81="","",IF($R81="Finalizado","Concluído",IF($R81="Usuário desistiu","Encerrado",IF($P81&lt;0,"Atrasado",IF($P81=0,"Vence hoje","No prazo")))))</f>
        <v/>
      </c>
      <c r="S81" s="7" t="b">
        <v>0</v>
      </c>
      <c r="T81" s="6" t="n"/>
      <c r="U81" s="12">
        <f>IF(COUNTIF(Checklist!$A$2:$A$3000,$A81)=0,"",COUNTIFS(Checklist!$A$2:$A$3000,$A81,Checklist!$C$2:$C$3000,TRUE)/COUNTIF(Checklist!$A$2:$A$3000,$A81))</f>
        <v/>
      </c>
      <c r="V81" s="6" t="n"/>
      <c r="Y81" s="7" t="b">
        <v>0</v>
      </c>
      <c r="Z81" s="6" t="n"/>
    </row>
    <row r="82">
      <c r="C82" s="6" t="n"/>
      <c r="E82" s="7" t="n"/>
      <c r="J82" s="8">
        <f>IF($I82="","",IFERROR(VLOOKUP($I82,Listas!$A$2:$B$100,2,FALSE),"—"))</f>
        <v/>
      </c>
      <c r="M82" s="7" t="b">
        <v>0</v>
      </c>
      <c r="N82" s="6" t="n"/>
      <c r="O82" s="9">
        <f>IF($N82="","",WORKDAY($N82,5,Listas!$O$2:$O$200))</f>
        <v/>
      </c>
      <c r="P82" s="10">
        <f>IF($O82="","",IF($O82&gt;=TODAY(),NETWORKDAYS(TODAY(),$O82,Listas!$O$2:$O$200)-1,NETWORKDAYS(TODAY(),$O82,Listas!$O$2:$O$200)+1))</f>
        <v/>
      </c>
      <c r="Q82" s="11">
        <f>IF($O82="","",IF($R82="Finalizado","Concluído",IF($R82="Usuário desistiu","Encerrado",IF($P82&lt;0,"Atrasado",IF($P82=0,"Vence hoje","No prazo")))))</f>
        <v/>
      </c>
      <c r="S82" s="7" t="b">
        <v>0</v>
      </c>
      <c r="T82" s="6" t="n"/>
      <c r="U82" s="12">
        <f>IF(COUNTIF(Checklist!$A$2:$A$3000,$A82)=0,"",COUNTIFS(Checklist!$A$2:$A$3000,$A82,Checklist!$C$2:$C$3000,TRUE)/COUNTIF(Checklist!$A$2:$A$3000,$A82))</f>
        <v/>
      </c>
      <c r="V82" s="6" t="n"/>
      <c r="Y82" s="7" t="b">
        <v>0</v>
      </c>
      <c r="Z82" s="6" t="n"/>
    </row>
    <row r="83">
      <c r="C83" s="6" t="n"/>
      <c r="E83" s="7" t="n"/>
      <c r="J83" s="8">
        <f>IF($I83="","",IFERROR(VLOOKUP($I83,Listas!$A$2:$B$100,2,FALSE),"—"))</f>
        <v/>
      </c>
      <c r="M83" s="7" t="b">
        <v>0</v>
      </c>
      <c r="N83" s="6" t="n"/>
      <c r="O83" s="9">
        <f>IF($N83="","",WORKDAY($N83,5,Listas!$O$2:$O$200))</f>
        <v/>
      </c>
      <c r="P83" s="10">
        <f>IF($O83="","",IF($O83&gt;=TODAY(),NETWORKDAYS(TODAY(),$O83,Listas!$O$2:$O$200)-1,NETWORKDAYS(TODAY(),$O83,Listas!$O$2:$O$200)+1))</f>
        <v/>
      </c>
      <c r="Q83" s="11">
        <f>IF($O83="","",IF($R83="Finalizado","Concluído",IF($R83="Usuário desistiu","Encerrado",IF($P83&lt;0,"Atrasado",IF($P83=0,"Vence hoje","No prazo")))))</f>
        <v/>
      </c>
      <c r="S83" s="7" t="b">
        <v>0</v>
      </c>
      <c r="T83" s="6" t="n"/>
      <c r="U83" s="12">
        <f>IF(COUNTIF(Checklist!$A$2:$A$3000,$A83)=0,"",COUNTIFS(Checklist!$A$2:$A$3000,$A83,Checklist!$C$2:$C$3000,TRUE)/COUNTIF(Checklist!$A$2:$A$3000,$A83))</f>
        <v/>
      </c>
      <c r="V83" s="6" t="n"/>
      <c r="Y83" s="7" t="b">
        <v>0</v>
      </c>
      <c r="Z83" s="6" t="n"/>
    </row>
    <row r="84">
      <c r="C84" s="6" t="n"/>
      <c r="E84" s="7" t="n"/>
      <c r="J84" s="8">
        <f>IF($I84="","",IFERROR(VLOOKUP($I84,Listas!$A$2:$B$100,2,FALSE),"—"))</f>
        <v/>
      </c>
      <c r="M84" s="7" t="b">
        <v>0</v>
      </c>
      <c r="N84" s="6" t="n"/>
      <c r="O84" s="9">
        <f>IF($N84="","",WORKDAY($N84,5,Listas!$O$2:$O$200))</f>
        <v/>
      </c>
      <c r="P84" s="10">
        <f>IF($O84="","",IF($O84&gt;=TODAY(),NETWORKDAYS(TODAY(),$O84,Listas!$O$2:$O$200)-1,NETWORKDAYS(TODAY(),$O84,Listas!$O$2:$O$200)+1))</f>
        <v/>
      </c>
      <c r="Q84" s="11">
        <f>IF($O84="","",IF($R84="Finalizado","Concluído",IF($R84="Usuário desistiu","Encerrado",IF($P84&lt;0,"Atrasado",IF($P84=0,"Vence hoje","No prazo")))))</f>
        <v/>
      </c>
      <c r="S84" s="7" t="b">
        <v>0</v>
      </c>
      <c r="T84" s="6" t="n"/>
      <c r="U84" s="12">
        <f>IF(COUNTIF(Checklist!$A$2:$A$3000,$A84)=0,"",COUNTIFS(Checklist!$A$2:$A$3000,$A84,Checklist!$C$2:$C$3000,TRUE)/COUNTIF(Checklist!$A$2:$A$3000,$A84))</f>
        <v/>
      </c>
      <c r="V84" s="6" t="n"/>
      <c r="Y84" s="7" t="b">
        <v>0</v>
      </c>
      <c r="Z84" s="6" t="n"/>
    </row>
    <row r="85">
      <c r="C85" s="6" t="n"/>
      <c r="E85" s="7" t="n"/>
      <c r="J85" s="8">
        <f>IF($I85="","",IFERROR(VLOOKUP($I85,Listas!$A$2:$B$100,2,FALSE),"—"))</f>
        <v/>
      </c>
      <c r="M85" s="7" t="b">
        <v>0</v>
      </c>
      <c r="N85" s="6" t="n"/>
      <c r="O85" s="9">
        <f>IF($N85="","",WORKDAY($N85,5,Listas!$O$2:$O$200))</f>
        <v/>
      </c>
      <c r="P85" s="10">
        <f>IF($O85="","",IF($O85&gt;=TODAY(),NETWORKDAYS(TODAY(),$O85,Listas!$O$2:$O$200)-1,NETWORKDAYS(TODAY(),$O85,Listas!$O$2:$O$200)+1))</f>
        <v/>
      </c>
      <c r="Q85" s="11">
        <f>IF($O85="","",IF($R85="Finalizado","Concluído",IF($R85="Usuário desistiu","Encerrado",IF($P85&lt;0,"Atrasado",IF($P85=0,"Vence hoje","No prazo")))))</f>
        <v/>
      </c>
      <c r="S85" s="7" t="b">
        <v>0</v>
      </c>
      <c r="T85" s="6" t="n"/>
      <c r="U85" s="12">
        <f>IF(COUNTIF(Checklist!$A$2:$A$3000,$A85)=0,"",COUNTIFS(Checklist!$A$2:$A$3000,$A85,Checklist!$C$2:$C$3000,TRUE)/COUNTIF(Checklist!$A$2:$A$3000,$A85))</f>
        <v/>
      </c>
      <c r="V85" s="6" t="n"/>
      <c r="Y85" s="7" t="b">
        <v>0</v>
      </c>
      <c r="Z85" s="6" t="n"/>
    </row>
    <row r="86">
      <c r="C86" s="6" t="n"/>
      <c r="E86" s="7" t="n"/>
      <c r="J86" s="8">
        <f>IF($I86="","",IFERROR(VLOOKUP($I86,Listas!$A$2:$B$100,2,FALSE),"—"))</f>
        <v/>
      </c>
      <c r="M86" s="7" t="b">
        <v>0</v>
      </c>
      <c r="N86" s="6" t="n"/>
      <c r="O86" s="9">
        <f>IF($N86="","",WORKDAY($N86,5,Listas!$O$2:$O$200))</f>
        <v/>
      </c>
      <c r="P86" s="10">
        <f>IF($O86="","",IF($O86&gt;=TODAY(),NETWORKDAYS(TODAY(),$O86,Listas!$O$2:$O$200)-1,NETWORKDAYS(TODAY(),$O86,Listas!$O$2:$O$200)+1))</f>
        <v/>
      </c>
      <c r="Q86" s="11">
        <f>IF($O86="","",IF($R86="Finalizado","Concluído",IF($R86="Usuário desistiu","Encerrado",IF($P86&lt;0,"Atrasado",IF($P86=0,"Vence hoje","No prazo")))))</f>
        <v/>
      </c>
      <c r="S86" s="7" t="b">
        <v>0</v>
      </c>
      <c r="T86" s="6" t="n"/>
      <c r="U86" s="12">
        <f>IF(COUNTIF(Checklist!$A$2:$A$3000,$A86)=0,"",COUNTIFS(Checklist!$A$2:$A$3000,$A86,Checklist!$C$2:$C$3000,TRUE)/COUNTIF(Checklist!$A$2:$A$3000,$A86))</f>
        <v/>
      </c>
      <c r="V86" s="6" t="n"/>
      <c r="Y86" s="7" t="b">
        <v>0</v>
      </c>
      <c r="Z86" s="6" t="n"/>
    </row>
    <row r="87">
      <c r="C87" s="6" t="n"/>
      <c r="E87" s="7" t="n"/>
      <c r="J87" s="8">
        <f>IF($I87="","",IFERROR(VLOOKUP($I87,Listas!$A$2:$B$100,2,FALSE),"—"))</f>
        <v/>
      </c>
      <c r="M87" s="7" t="b">
        <v>0</v>
      </c>
      <c r="N87" s="6" t="n"/>
      <c r="O87" s="9">
        <f>IF($N87="","",WORKDAY($N87,5,Listas!$O$2:$O$200))</f>
        <v/>
      </c>
      <c r="P87" s="10">
        <f>IF($O87="","",IF($O87&gt;=TODAY(),NETWORKDAYS(TODAY(),$O87,Listas!$O$2:$O$200)-1,NETWORKDAYS(TODAY(),$O87,Listas!$O$2:$O$200)+1))</f>
        <v/>
      </c>
      <c r="Q87" s="11">
        <f>IF($O87="","",IF($R87="Finalizado","Concluído",IF($R87="Usuário desistiu","Encerrado",IF($P87&lt;0,"Atrasado",IF($P87=0,"Vence hoje","No prazo")))))</f>
        <v/>
      </c>
      <c r="S87" s="7" t="b">
        <v>0</v>
      </c>
      <c r="T87" s="6" t="n"/>
      <c r="U87" s="12">
        <f>IF(COUNTIF(Checklist!$A$2:$A$3000,$A87)=0,"",COUNTIFS(Checklist!$A$2:$A$3000,$A87,Checklist!$C$2:$C$3000,TRUE)/COUNTIF(Checklist!$A$2:$A$3000,$A87))</f>
        <v/>
      </c>
      <c r="V87" s="6" t="n"/>
      <c r="Y87" s="7" t="b">
        <v>0</v>
      </c>
      <c r="Z87" s="6" t="n"/>
    </row>
    <row r="88">
      <c r="C88" s="6" t="n"/>
      <c r="E88" s="7" t="n"/>
      <c r="J88" s="8">
        <f>IF($I88="","",IFERROR(VLOOKUP($I88,Listas!$A$2:$B$100,2,FALSE),"—"))</f>
        <v/>
      </c>
      <c r="M88" s="7" t="b">
        <v>0</v>
      </c>
      <c r="N88" s="6" t="n"/>
      <c r="O88" s="9">
        <f>IF($N88="","",WORKDAY($N88,5,Listas!$O$2:$O$200))</f>
        <v/>
      </c>
      <c r="P88" s="10">
        <f>IF($O88="","",IF($O88&gt;=TODAY(),NETWORKDAYS(TODAY(),$O88,Listas!$O$2:$O$200)-1,NETWORKDAYS(TODAY(),$O88,Listas!$O$2:$O$200)+1))</f>
        <v/>
      </c>
      <c r="Q88" s="11">
        <f>IF($O88="","",IF($R88="Finalizado","Concluído",IF($R88="Usuário desistiu","Encerrado",IF($P88&lt;0,"Atrasado",IF($P88=0,"Vence hoje","No prazo")))))</f>
        <v/>
      </c>
      <c r="S88" s="7" t="b">
        <v>0</v>
      </c>
      <c r="T88" s="6" t="n"/>
      <c r="U88" s="12">
        <f>IF(COUNTIF(Checklist!$A$2:$A$3000,$A88)=0,"",COUNTIFS(Checklist!$A$2:$A$3000,$A88,Checklist!$C$2:$C$3000,TRUE)/COUNTIF(Checklist!$A$2:$A$3000,$A88))</f>
        <v/>
      </c>
      <c r="V88" s="6" t="n"/>
      <c r="Y88" s="7" t="b">
        <v>0</v>
      </c>
      <c r="Z88" s="6" t="n"/>
    </row>
    <row r="89">
      <c r="C89" s="6" t="n"/>
      <c r="E89" s="7" t="n"/>
      <c r="J89" s="8">
        <f>IF($I89="","",IFERROR(VLOOKUP($I89,Listas!$A$2:$B$100,2,FALSE),"—"))</f>
        <v/>
      </c>
      <c r="M89" s="7" t="b">
        <v>0</v>
      </c>
      <c r="N89" s="6" t="n"/>
      <c r="O89" s="9">
        <f>IF($N89="","",WORKDAY($N89,5,Listas!$O$2:$O$200))</f>
        <v/>
      </c>
      <c r="P89" s="10">
        <f>IF($O89="","",IF($O89&gt;=TODAY(),NETWORKDAYS(TODAY(),$O89,Listas!$O$2:$O$200)-1,NETWORKDAYS(TODAY(),$O89,Listas!$O$2:$O$200)+1))</f>
        <v/>
      </c>
      <c r="Q89" s="11">
        <f>IF($O89="","",IF($R89="Finalizado","Concluído",IF($R89="Usuário desistiu","Encerrado",IF($P89&lt;0,"Atrasado",IF($P89=0,"Vence hoje","No prazo")))))</f>
        <v/>
      </c>
      <c r="S89" s="7" t="b">
        <v>0</v>
      </c>
      <c r="T89" s="6" t="n"/>
      <c r="U89" s="12">
        <f>IF(COUNTIF(Checklist!$A$2:$A$3000,$A89)=0,"",COUNTIFS(Checklist!$A$2:$A$3000,$A89,Checklist!$C$2:$C$3000,TRUE)/COUNTIF(Checklist!$A$2:$A$3000,$A89))</f>
        <v/>
      </c>
      <c r="V89" s="6" t="n"/>
      <c r="Y89" s="7" t="b">
        <v>0</v>
      </c>
      <c r="Z89" s="6" t="n"/>
    </row>
    <row r="90">
      <c r="C90" s="6" t="n"/>
      <c r="E90" s="7" t="n"/>
      <c r="J90" s="8">
        <f>IF($I90="","",IFERROR(VLOOKUP($I90,Listas!$A$2:$B$100,2,FALSE),"—"))</f>
        <v/>
      </c>
      <c r="M90" s="7" t="b">
        <v>0</v>
      </c>
      <c r="N90" s="6" t="n"/>
      <c r="O90" s="9">
        <f>IF($N90="","",WORKDAY($N90,5,Listas!$O$2:$O$200))</f>
        <v/>
      </c>
      <c r="P90" s="10">
        <f>IF($O90="","",IF($O90&gt;=TODAY(),NETWORKDAYS(TODAY(),$O90,Listas!$O$2:$O$200)-1,NETWORKDAYS(TODAY(),$O90,Listas!$O$2:$O$200)+1))</f>
        <v/>
      </c>
      <c r="Q90" s="11">
        <f>IF($O90="","",IF($R90="Finalizado","Concluído",IF($R90="Usuário desistiu","Encerrado",IF($P90&lt;0,"Atrasado",IF($P90=0,"Vence hoje","No prazo")))))</f>
        <v/>
      </c>
      <c r="S90" s="7" t="b">
        <v>0</v>
      </c>
      <c r="T90" s="6" t="n"/>
      <c r="U90" s="12">
        <f>IF(COUNTIF(Checklist!$A$2:$A$3000,$A90)=0,"",COUNTIFS(Checklist!$A$2:$A$3000,$A90,Checklist!$C$2:$C$3000,TRUE)/COUNTIF(Checklist!$A$2:$A$3000,$A90))</f>
        <v/>
      </c>
      <c r="V90" s="6" t="n"/>
      <c r="Y90" s="7" t="b">
        <v>0</v>
      </c>
      <c r="Z90" s="6" t="n"/>
    </row>
    <row r="91">
      <c r="C91" s="6" t="n"/>
      <c r="E91" s="7" t="n"/>
      <c r="J91" s="8">
        <f>IF($I91="","",IFERROR(VLOOKUP($I91,Listas!$A$2:$B$100,2,FALSE),"—"))</f>
        <v/>
      </c>
      <c r="M91" s="7" t="b">
        <v>0</v>
      </c>
      <c r="N91" s="6" t="n"/>
      <c r="O91" s="9">
        <f>IF($N91="","",WORKDAY($N91,5,Listas!$O$2:$O$200))</f>
        <v/>
      </c>
      <c r="P91" s="10">
        <f>IF($O91="","",IF($O91&gt;=TODAY(),NETWORKDAYS(TODAY(),$O91,Listas!$O$2:$O$200)-1,NETWORKDAYS(TODAY(),$O91,Listas!$O$2:$O$200)+1))</f>
        <v/>
      </c>
      <c r="Q91" s="11">
        <f>IF($O91="","",IF($R91="Finalizado","Concluído",IF($R91="Usuário desistiu","Encerrado",IF($P91&lt;0,"Atrasado",IF($P91=0,"Vence hoje","No prazo")))))</f>
        <v/>
      </c>
      <c r="S91" s="7" t="b">
        <v>0</v>
      </c>
      <c r="T91" s="6" t="n"/>
      <c r="U91" s="12">
        <f>IF(COUNTIF(Checklist!$A$2:$A$3000,$A91)=0,"",COUNTIFS(Checklist!$A$2:$A$3000,$A91,Checklist!$C$2:$C$3000,TRUE)/COUNTIF(Checklist!$A$2:$A$3000,$A91))</f>
        <v/>
      </c>
      <c r="V91" s="6" t="n"/>
      <c r="Y91" s="7" t="b">
        <v>0</v>
      </c>
      <c r="Z91" s="6" t="n"/>
    </row>
    <row r="92">
      <c r="C92" s="6" t="n"/>
      <c r="E92" s="7" t="n"/>
      <c r="J92" s="8">
        <f>IF($I92="","",IFERROR(VLOOKUP($I92,Listas!$A$2:$B$100,2,FALSE),"—"))</f>
        <v/>
      </c>
      <c r="M92" s="7" t="b">
        <v>0</v>
      </c>
      <c r="N92" s="6" t="n"/>
      <c r="O92" s="9">
        <f>IF($N92="","",WORKDAY($N92,5,Listas!$O$2:$O$200))</f>
        <v/>
      </c>
      <c r="P92" s="10">
        <f>IF($O92="","",IF($O92&gt;=TODAY(),NETWORKDAYS(TODAY(),$O92,Listas!$O$2:$O$200)-1,NETWORKDAYS(TODAY(),$O92,Listas!$O$2:$O$200)+1))</f>
        <v/>
      </c>
      <c r="Q92" s="11">
        <f>IF($O92="","",IF($R92="Finalizado","Concluído",IF($R92="Usuário desistiu","Encerrado",IF($P92&lt;0,"Atrasado",IF($P92=0,"Vence hoje","No prazo")))))</f>
        <v/>
      </c>
      <c r="S92" s="7" t="b">
        <v>0</v>
      </c>
      <c r="T92" s="6" t="n"/>
      <c r="U92" s="12">
        <f>IF(COUNTIF(Checklist!$A$2:$A$3000,$A92)=0,"",COUNTIFS(Checklist!$A$2:$A$3000,$A92,Checklist!$C$2:$C$3000,TRUE)/COUNTIF(Checklist!$A$2:$A$3000,$A92))</f>
        <v/>
      </c>
      <c r="V92" s="6" t="n"/>
      <c r="Y92" s="7" t="b">
        <v>0</v>
      </c>
      <c r="Z92" s="6" t="n"/>
    </row>
    <row r="93">
      <c r="C93" s="6" t="n"/>
      <c r="E93" s="7" t="n"/>
      <c r="J93" s="8">
        <f>IF($I93="","",IFERROR(VLOOKUP($I93,Listas!$A$2:$B$100,2,FALSE),"—"))</f>
        <v/>
      </c>
      <c r="M93" s="7" t="b">
        <v>0</v>
      </c>
      <c r="N93" s="6" t="n"/>
      <c r="O93" s="9">
        <f>IF($N93="","",WORKDAY($N93,5,Listas!$O$2:$O$200))</f>
        <v/>
      </c>
      <c r="P93" s="10">
        <f>IF($O93="","",IF($O93&gt;=TODAY(),NETWORKDAYS(TODAY(),$O93,Listas!$O$2:$O$200)-1,NETWORKDAYS(TODAY(),$O93,Listas!$O$2:$O$200)+1))</f>
        <v/>
      </c>
      <c r="Q93" s="11">
        <f>IF($O93="","",IF($R93="Finalizado","Concluído",IF($R93="Usuário desistiu","Encerrado",IF($P93&lt;0,"Atrasado",IF($P93=0,"Vence hoje","No prazo")))))</f>
        <v/>
      </c>
      <c r="S93" s="7" t="b">
        <v>0</v>
      </c>
      <c r="T93" s="6" t="n"/>
      <c r="U93" s="12">
        <f>IF(COUNTIF(Checklist!$A$2:$A$3000,$A93)=0,"",COUNTIFS(Checklist!$A$2:$A$3000,$A93,Checklist!$C$2:$C$3000,TRUE)/COUNTIF(Checklist!$A$2:$A$3000,$A93))</f>
        <v/>
      </c>
      <c r="V93" s="6" t="n"/>
      <c r="Y93" s="7" t="b">
        <v>0</v>
      </c>
      <c r="Z93" s="6" t="n"/>
    </row>
    <row r="94">
      <c r="C94" s="6" t="n"/>
      <c r="E94" s="7" t="n"/>
      <c r="J94" s="8">
        <f>IF($I94="","",IFERROR(VLOOKUP($I94,Listas!$A$2:$B$100,2,FALSE),"—"))</f>
        <v/>
      </c>
      <c r="M94" s="7" t="b">
        <v>0</v>
      </c>
      <c r="N94" s="6" t="n"/>
      <c r="O94" s="9">
        <f>IF($N94="","",WORKDAY($N94,5,Listas!$O$2:$O$200))</f>
        <v/>
      </c>
      <c r="P94" s="10">
        <f>IF($O94="","",IF($O94&gt;=TODAY(),NETWORKDAYS(TODAY(),$O94,Listas!$O$2:$O$200)-1,NETWORKDAYS(TODAY(),$O94,Listas!$O$2:$O$200)+1))</f>
        <v/>
      </c>
      <c r="Q94" s="11">
        <f>IF($O94="","",IF($R94="Finalizado","Concluído",IF($R94="Usuário desistiu","Encerrado",IF($P94&lt;0,"Atrasado",IF($P94=0,"Vence hoje","No prazo")))))</f>
        <v/>
      </c>
      <c r="S94" s="7" t="b">
        <v>0</v>
      </c>
      <c r="T94" s="6" t="n"/>
      <c r="U94" s="12">
        <f>IF(COUNTIF(Checklist!$A$2:$A$3000,$A94)=0,"",COUNTIFS(Checklist!$A$2:$A$3000,$A94,Checklist!$C$2:$C$3000,TRUE)/COUNTIF(Checklist!$A$2:$A$3000,$A94))</f>
        <v/>
      </c>
      <c r="V94" s="6" t="n"/>
      <c r="Y94" s="7" t="b">
        <v>0</v>
      </c>
      <c r="Z94" s="6" t="n"/>
    </row>
    <row r="95">
      <c r="C95" s="6" t="n"/>
      <c r="E95" s="7" t="n"/>
      <c r="J95" s="8">
        <f>IF($I95="","",IFERROR(VLOOKUP($I95,Listas!$A$2:$B$100,2,FALSE),"—"))</f>
        <v/>
      </c>
      <c r="M95" s="7" t="b">
        <v>0</v>
      </c>
      <c r="N95" s="6" t="n"/>
      <c r="O95" s="9">
        <f>IF($N95="","",WORKDAY($N95,5,Listas!$O$2:$O$200))</f>
        <v/>
      </c>
      <c r="P95" s="10">
        <f>IF($O95="","",IF($O95&gt;=TODAY(),NETWORKDAYS(TODAY(),$O95,Listas!$O$2:$O$200)-1,NETWORKDAYS(TODAY(),$O95,Listas!$O$2:$O$200)+1))</f>
        <v/>
      </c>
      <c r="Q95" s="11">
        <f>IF($O95="","",IF($R95="Finalizado","Concluído",IF($R95="Usuário desistiu","Encerrado",IF($P95&lt;0,"Atrasado",IF($P95=0,"Vence hoje","No prazo")))))</f>
        <v/>
      </c>
      <c r="S95" s="7" t="b">
        <v>0</v>
      </c>
      <c r="T95" s="6" t="n"/>
      <c r="U95" s="12">
        <f>IF(COUNTIF(Checklist!$A$2:$A$3000,$A95)=0,"",COUNTIFS(Checklist!$A$2:$A$3000,$A95,Checklist!$C$2:$C$3000,TRUE)/COUNTIF(Checklist!$A$2:$A$3000,$A95))</f>
        <v/>
      </c>
      <c r="V95" s="6" t="n"/>
      <c r="Y95" s="7" t="b">
        <v>0</v>
      </c>
      <c r="Z95" s="6" t="n"/>
    </row>
    <row r="96">
      <c r="C96" s="6" t="n"/>
      <c r="E96" s="7" t="n"/>
      <c r="J96" s="8">
        <f>IF($I96="","",IFERROR(VLOOKUP($I96,Listas!$A$2:$B$100,2,FALSE),"—"))</f>
        <v/>
      </c>
      <c r="M96" s="7" t="b">
        <v>0</v>
      </c>
      <c r="N96" s="6" t="n"/>
      <c r="O96" s="9">
        <f>IF($N96="","",WORKDAY($N96,5,Listas!$O$2:$O$200))</f>
        <v/>
      </c>
      <c r="P96" s="10">
        <f>IF($O96="","",IF($O96&gt;=TODAY(),NETWORKDAYS(TODAY(),$O96,Listas!$O$2:$O$200)-1,NETWORKDAYS(TODAY(),$O96,Listas!$O$2:$O$200)+1))</f>
        <v/>
      </c>
      <c r="Q96" s="11">
        <f>IF($O96="","",IF($R96="Finalizado","Concluído",IF($R96="Usuário desistiu","Encerrado",IF($P96&lt;0,"Atrasado",IF($P96=0,"Vence hoje","No prazo")))))</f>
        <v/>
      </c>
      <c r="S96" s="7" t="b">
        <v>0</v>
      </c>
      <c r="T96" s="6" t="n"/>
      <c r="U96" s="12">
        <f>IF(COUNTIF(Checklist!$A$2:$A$3000,$A96)=0,"",COUNTIFS(Checklist!$A$2:$A$3000,$A96,Checklist!$C$2:$C$3000,TRUE)/COUNTIF(Checklist!$A$2:$A$3000,$A96))</f>
        <v/>
      </c>
      <c r="V96" s="6" t="n"/>
      <c r="Y96" s="7" t="b">
        <v>0</v>
      </c>
      <c r="Z96" s="6" t="n"/>
    </row>
    <row r="97">
      <c r="C97" s="6" t="n"/>
      <c r="E97" s="7" t="n"/>
      <c r="J97" s="8">
        <f>IF($I97="","",IFERROR(VLOOKUP($I97,Listas!$A$2:$B$100,2,FALSE),"—"))</f>
        <v/>
      </c>
      <c r="M97" s="7" t="b">
        <v>0</v>
      </c>
      <c r="N97" s="6" t="n"/>
      <c r="O97" s="9">
        <f>IF($N97="","",WORKDAY($N97,5,Listas!$O$2:$O$200))</f>
        <v/>
      </c>
      <c r="P97" s="10">
        <f>IF($O97="","",IF($O97&gt;=TODAY(),NETWORKDAYS(TODAY(),$O97,Listas!$O$2:$O$200)-1,NETWORKDAYS(TODAY(),$O97,Listas!$O$2:$O$200)+1))</f>
        <v/>
      </c>
      <c r="Q97" s="11">
        <f>IF($O97="","",IF($R97="Finalizado","Concluído",IF($R97="Usuário desistiu","Encerrado",IF($P97&lt;0,"Atrasado",IF($P97=0,"Vence hoje","No prazo")))))</f>
        <v/>
      </c>
      <c r="S97" s="7" t="b">
        <v>0</v>
      </c>
      <c r="T97" s="6" t="n"/>
      <c r="U97" s="12">
        <f>IF(COUNTIF(Checklist!$A$2:$A$3000,$A97)=0,"",COUNTIFS(Checklist!$A$2:$A$3000,$A97,Checklist!$C$2:$C$3000,TRUE)/COUNTIF(Checklist!$A$2:$A$3000,$A97))</f>
        <v/>
      </c>
      <c r="V97" s="6" t="n"/>
      <c r="Y97" s="7" t="b">
        <v>0</v>
      </c>
      <c r="Z97" s="6" t="n"/>
    </row>
    <row r="98">
      <c r="C98" s="6" t="n"/>
      <c r="E98" s="7" t="n"/>
      <c r="J98" s="8">
        <f>IF($I98="","",IFERROR(VLOOKUP($I98,Listas!$A$2:$B$100,2,FALSE),"—"))</f>
        <v/>
      </c>
      <c r="M98" s="7" t="b">
        <v>0</v>
      </c>
      <c r="N98" s="6" t="n"/>
      <c r="O98" s="9">
        <f>IF($N98="","",WORKDAY($N98,5,Listas!$O$2:$O$200))</f>
        <v/>
      </c>
      <c r="P98" s="10">
        <f>IF($O98="","",IF($O98&gt;=TODAY(),NETWORKDAYS(TODAY(),$O98,Listas!$O$2:$O$200)-1,NETWORKDAYS(TODAY(),$O98,Listas!$O$2:$O$200)+1))</f>
        <v/>
      </c>
      <c r="Q98" s="11">
        <f>IF($O98="","",IF($R98="Finalizado","Concluído",IF($R98="Usuário desistiu","Encerrado",IF($P98&lt;0,"Atrasado",IF($P98=0,"Vence hoje","No prazo")))))</f>
        <v/>
      </c>
      <c r="S98" s="7" t="b">
        <v>0</v>
      </c>
      <c r="T98" s="6" t="n"/>
      <c r="U98" s="12">
        <f>IF(COUNTIF(Checklist!$A$2:$A$3000,$A98)=0,"",COUNTIFS(Checklist!$A$2:$A$3000,$A98,Checklist!$C$2:$C$3000,TRUE)/COUNTIF(Checklist!$A$2:$A$3000,$A98))</f>
        <v/>
      </c>
      <c r="V98" s="6" t="n"/>
      <c r="Y98" s="7" t="b">
        <v>0</v>
      </c>
      <c r="Z98" s="6" t="n"/>
    </row>
    <row r="99">
      <c r="C99" s="6" t="n"/>
      <c r="E99" s="7" t="n"/>
      <c r="J99" s="8">
        <f>IF($I99="","",IFERROR(VLOOKUP($I99,Listas!$A$2:$B$100,2,FALSE),"—"))</f>
        <v/>
      </c>
      <c r="M99" s="7" t="b">
        <v>0</v>
      </c>
      <c r="N99" s="6" t="n"/>
      <c r="O99" s="9">
        <f>IF($N99="","",WORKDAY($N99,5,Listas!$O$2:$O$200))</f>
        <v/>
      </c>
      <c r="P99" s="10">
        <f>IF($O99="","",IF($O99&gt;=TODAY(),NETWORKDAYS(TODAY(),$O99,Listas!$O$2:$O$200)-1,NETWORKDAYS(TODAY(),$O99,Listas!$O$2:$O$200)+1))</f>
        <v/>
      </c>
      <c r="Q99" s="11">
        <f>IF($O99="","",IF($R99="Finalizado","Concluído",IF($R99="Usuário desistiu","Encerrado",IF($P99&lt;0,"Atrasado",IF($P99=0,"Vence hoje","No prazo")))))</f>
        <v/>
      </c>
      <c r="S99" s="7" t="b">
        <v>0</v>
      </c>
      <c r="T99" s="6" t="n"/>
      <c r="U99" s="12">
        <f>IF(COUNTIF(Checklist!$A$2:$A$3000,$A99)=0,"",COUNTIFS(Checklist!$A$2:$A$3000,$A99,Checklist!$C$2:$C$3000,TRUE)/COUNTIF(Checklist!$A$2:$A$3000,$A99))</f>
        <v/>
      </c>
      <c r="V99" s="6" t="n"/>
      <c r="Y99" s="7" t="b">
        <v>0</v>
      </c>
      <c r="Z99" s="6" t="n"/>
    </row>
    <row r="100">
      <c r="C100" s="6" t="n"/>
      <c r="E100" s="7" t="n"/>
      <c r="J100" s="8">
        <f>IF($I100="","",IFERROR(VLOOKUP($I100,Listas!$A$2:$B$100,2,FALSE),"—"))</f>
        <v/>
      </c>
      <c r="M100" s="7" t="b">
        <v>0</v>
      </c>
      <c r="N100" s="6" t="n"/>
      <c r="O100" s="9">
        <f>IF($N100="","",WORKDAY($N100,5,Listas!$O$2:$O$200))</f>
        <v/>
      </c>
      <c r="P100" s="10">
        <f>IF($O100="","",IF($O100&gt;=TODAY(),NETWORKDAYS(TODAY(),$O100,Listas!$O$2:$O$200)-1,NETWORKDAYS(TODAY(),$O100,Listas!$O$2:$O$200)+1))</f>
        <v/>
      </c>
      <c r="Q100" s="11">
        <f>IF($O100="","",IF($R100="Finalizado","Concluído",IF($R100="Usuário desistiu","Encerrado",IF($P100&lt;0,"Atrasado",IF($P100=0,"Vence hoje","No prazo")))))</f>
        <v/>
      </c>
      <c r="S100" s="7" t="b">
        <v>0</v>
      </c>
      <c r="T100" s="6" t="n"/>
      <c r="U100" s="12">
        <f>IF(COUNTIF(Checklist!$A$2:$A$3000,$A100)=0,"",COUNTIFS(Checklist!$A$2:$A$3000,$A100,Checklist!$C$2:$C$3000,TRUE)/COUNTIF(Checklist!$A$2:$A$3000,$A100))</f>
        <v/>
      </c>
      <c r="V100" s="6" t="n"/>
      <c r="Y100" s="7" t="b">
        <v>0</v>
      </c>
      <c r="Z100" s="6" t="n"/>
    </row>
    <row r="101">
      <c r="C101" s="6" t="n"/>
      <c r="E101" s="7" t="n"/>
      <c r="J101" s="8">
        <f>IF($I101="","",IFERROR(VLOOKUP($I101,Listas!$A$2:$B$100,2,FALSE),"—"))</f>
        <v/>
      </c>
      <c r="M101" s="7" t="b">
        <v>0</v>
      </c>
      <c r="N101" s="6" t="n"/>
      <c r="O101" s="9">
        <f>IF($N101="","",WORKDAY($N101,5,Listas!$O$2:$O$200))</f>
        <v/>
      </c>
      <c r="P101" s="10">
        <f>IF($O101="","",IF($O101&gt;=TODAY(),NETWORKDAYS(TODAY(),$O101,Listas!$O$2:$O$200)-1,NETWORKDAYS(TODAY(),$O101,Listas!$O$2:$O$200)+1))</f>
        <v/>
      </c>
      <c r="Q101" s="11">
        <f>IF($O101="","",IF($R101="Finalizado","Concluído",IF($R101="Usuário desistiu","Encerrado",IF($P101&lt;0,"Atrasado",IF($P101=0,"Vence hoje","No prazo")))))</f>
        <v/>
      </c>
      <c r="S101" s="7" t="b">
        <v>0</v>
      </c>
      <c r="T101" s="6" t="n"/>
      <c r="U101" s="12">
        <f>IF(COUNTIF(Checklist!$A$2:$A$3000,$A101)=0,"",COUNTIFS(Checklist!$A$2:$A$3000,$A101,Checklist!$C$2:$C$3000,TRUE)/COUNTIF(Checklist!$A$2:$A$3000,$A101))</f>
        <v/>
      </c>
      <c r="V101" s="6" t="n"/>
      <c r="Y101" s="7" t="b">
        <v>0</v>
      </c>
      <c r="Z101" s="6" t="n"/>
    </row>
    <row r="102">
      <c r="C102" s="6" t="n"/>
      <c r="E102" s="7" t="n"/>
      <c r="J102" s="8">
        <f>IF($I102="","",IFERROR(VLOOKUP($I102,Listas!$A$2:$B$100,2,FALSE),"—"))</f>
        <v/>
      </c>
      <c r="M102" s="7" t="b">
        <v>0</v>
      </c>
      <c r="N102" s="6" t="n"/>
      <c r="O102" s="9">
        <f>IF($N102="","",WORKDAY($N102,5,Listas!$O$2:$O$200))</f>
        <v/>
      </c>
      <c r="P102" s="10">
        <f>IF($O102="","",IF($O102&gt;=TODAY(),NETWORKDAYS(TODAY(),$O102,Listas!$O$2:$O$200)-1,NETWORKDAYS(TODAY(),$O102,Listas!$O$2:$O$200)+1))</f>
        <v/>
      </c>
      <c r="Q102" s="11">
        <f>IF($O102="","",IF($R102="Finalizado","Concluído",IF($R102="Usuário desistiu","Encerrado",IF($P102&lt;0,"Atrasado",IF($P102=0,"Vence hoje","No prazo")))))</f>
        <v/>
      </c>
      <c r="S102" s="7" t="b">
        <v>0</v>
      </c>
      <c r="T102" s="6" t="n"/>
      <c r="U102" s="12">
        <f>IF(COUNTIF(Checklist!$A$2:$A$3000,$A102)=0,"",COUNTIFS(Checklist!$A$2:$A$3000,$A102,Checklist!$C$2:$C$3000,TRUE)/COUNTIF(Checklist!$A$2:$A$3000,$A102))</f>
        <v/>
      </c>
      <c r="V102" s="6" t="n"/>
      <c r="Y102" s="7" t="b">
        <v>0</v>
      </c>
      <c r="Z102" s="6" t="n"/>
    </row>
    <row r="103">
      <c r="C103" s="6" t="n"/>
      <c r="E103" s="7" t="n"/>
      <c r="J103" s="8">
        <f>IF($I103="","",IFERROR(VLOOKUP($I103,Listas!$A$2:$B$100,2,FALSE),"—"))</f>
        <v/>
      </c>
      <c r="M103" s="7" t="b">
        <v>0</v>
      </c>
      <c r="N103" s="6" t="n"/>
      <c r="O103" s="9">
        <f>IF($N103="","",WORKDAY($N103,5,Listas!$O$2:$O$200))</f>
        <v/>
      </c>
      <c r="P103" s="10">
        <f>IF($O103="","",IF($O103&gt;=TODAY(),NETWORKDAYS(TODAY(),$O103,Listas!$O$2:$O$200)-1,NETWORKDAYS(TODAY(),$O103,Listas!$O$2:$O$200)+1))</f>
        <v/>
      </c>
      <c r="Q103" s="11">
        <f>IF($O103="","",IF($R103="Finalizado","Concluído",IF($R103="Usuário desistiu","Encerrado",IF($P103&lt;0,"Atrasado",IF($P103=0,"Vence hoje","No prazo")))))</f>
        <v/>
      </c>
      <c r="S103" s="7" t="b">
        <v>0</v>
      </c>
      <c r="T103" s="6" t="n"/>
      <c r="U103" s="12">
        <f>IF(COUNTIF(Checklist!$A$2:$A$3000,$A103)=0,"",COUNTIFS(Checklist!$A$2:$A$3000,$A103,Checklist!$C$2:$C$3000,TRUE)/COUNTIF(Checklist!$A$2:$A$3000,$A103))</f>
        <v/>
      </c>
      <c r="V103" s="6" t="n"/>
      <c r="Y103" s="7" t="b">
        <v>0</v>
      </c>
      <c r="Z103" s="6" t="n"/>
    </row>
    <row r="104">
      <c r="C104" s="6" t="n"/>
      <c r="E104" s="7" t="n"/>
      <c r="J104" s="8">
        <f>IF($I104="","",IFERROR(VLOOKUP($I104,Listas!$A$2:$B$100,2,FALSE),"—"))</f>
        <v/>
      </c>
      <c r="M104" s="7" t="b">
        <v>0</v>
      </c>
      <c r="N104" s="6" t="n"/>
      <c r="O104" s="9">
        <f>IF($N104="","",WORKDAY($N104,5,Listas!$O$2:$O$200))</f>
        <v/>
      </c>
      <c r="P104" s="10">
        <f>IF($O104="","",IF($O104&gt;=TODAY(),NETWORKDAYS(TODAY(),$O104,Listas!$O$2:$O$200)-1,NETWORKDAYS(TODAY(),$O104,Listas!$O$2:$O$200)+1))</f>
        <v/>
      </c>
      <c r="Q104" s="11">
        <f>IF($O104="","",IF($R104="Finalizado","Concluído",IF($R104="Usuário desistiu","Encerrado",IF($P104&lt;0,"Atrasado",IF($P104=0,"Vence hoje","No prazo")))))</f>
        <v/>
      </c>
      <c r="S104" s="7" t="b">
        <v>0</v>
      </c>
      <c r="T104" s="6" t="n"/>
      <c r="U104" s="12">
        <f>IF(COUNTIF(Checklist!$A$2:$A$3000,$A104)=0,"",COUNTIFS(Checklist!$A$2:$A$3000,$A104,Checklist!$C$2:$C$3000,TRUE)/COUNTIF(Checklist!$A$2:$A$3000,$A104))</f>
        <v/>
      </c>
      <c r="V104" s="6" t="n"/>
      <c r="Y104" s="7" t="b">
        <v>0</v>
      </c>
      <c r="Z104" s="6" t="n"/>
    </row>
    <row r="105">
      <c r="C105" s="6" t="n"/>
      <c r="E105" s="7" t="n"/>
      <c r="J105" s="8">
        <f>IF($I105="","",IFERROR(VLOOKUP($I105,Listas!$A$2:$B$100,2,FALSE),"—"))</f>
        <v/>
      </c>
      <c r="M105" s="7" t="b">
        <v>0</v>
      </c>
      <c r="N105" s="6" t="n"/>
      <c r="O105" s="9">
        <f>IF($N105="","",WORKDAY($N105,5,Listas!$O$2:$O$200))</f>
        <v/>
      </c>
      <c r="P105" s="10">
        <f>IF($O105="","",IF($O105&gt;=TODAY(),NETWORKDAYS(TODAY(),$O105,Listas!$O$2:$O$200)-1,NETWORKDAYS(TODAY(),$O105,Listas!$O$2:$O$200)+1))</f>
        <v/>
      </c>
      <c r="Q105" s="11">
        <f>IF($O105="","",IF($R105="Finalizado","Concluído",IF($R105="Usuário desistiu","Encerrado",IF($P105&lt;0,"Atrasado",IF($P105=0,"Vence hoje","No prazo")))))</f>
        <v/>
      </c>
      <c r="S105" s="7" t="b">
        <v>0</v>
      </c>
      <c r="T105" s="6" t="n"/>
      <c r="U105" s="12">
        <f>IF(COUNTIF(Checklist!$A$2:$A$3000,$A105)=0,"",COUNTIFS(Checklist!$A$2:$A$3000,$A105,Checklist!$C$2:$C$3000,TRUE)/COUNTIF(Checklist!$A$2:$A$3000,$A105))</f>
        <v/>
      </c>
      <c r="V105" s="6" t="n"/>
      <c r="Y105" s="7" t="b">
        <v>0</v>
      </c>
      <c r="Z105" s="6" t="n"/>
    </row>
    <row r="106">
      <c r="C106" s="6" t="n"/>
      <c r="E106" s="7" t="n"/>
      <c r="J106" s="8">
        <f>IF($I106="","",IFERROR(VLOOKUP($I106,Listas!$A$2:$B$100,2,FALSE),"—"))</f>
        <v/>
      </c>
      <c r="M106" s="7" t="b">
        <v>0</v>
      </c>
      <c r="N106" s="6" t="n"/>
      <c r="O106" s="9">
        <f>IF($N106="","",WORKDAY($N106,5,Listas!$O$2:$O$200))</f>
        <v/>
      </c>
      <c r="P106" s="10">
        <f>IF($O106="","",IF($O106&gt;=TODAY(),NETWORKDAYS(TODAY(),$O106,Listas!$O$2:$O$200)-1,NETWORKDAYS(TODAY(),$O106,Listas!$O$2:$O$200)+1))</f>
        <v/>
      </c>
      <c r="Q106" s="11">
        <f>IF($O106="","",IF($R106="Finalizado","Concluído",IF($R106="Usuário desistiu","Encerrado",IF($P106&lt;0,"Atrasado",IF($P106=0,"Vence hoje","No prazo")))))</f>
        <v/>
      </c>
      <c r="S106" s="7" t="b">
        <v>0</v>
      </c>
      <c r="T106" s="6" t="n"/>
      <c r="U106" s="12">
        <f>IF(COUNTIF(Checklist!$A$2:$A$3000,$A106)=0,"",COUNTIFS(Checklist!$A$2:$A$3000,$A106,Checklist!$C$2:$C$3000,TRUE)/COUNTIF(Checklist!$A$2:$A$3000,$A106))</f>
        <v/>
      </c>
      <c r="V106" s="6" t="n"/>
      <c r="Y106" s="7" t="b">
        <v>0</v>
      </c>
      <c r="Z106" s="6" t="n"/>
    </row>
    <row r="107">
      <c r="C107" s="6" t="n"/>
      <c r="E107" s="7" t="n"/>
      <c r="J107" s="8">
        <f>IF($I107="","",IFERROR(VLOOKUP($I107,Listas!$A$2:$B$100,2,FALSE),"—"))</f>
        <v/>
      </c>
      <c r="M107" s="7" t="b">
        <v>0</v>
      </c>
      <c r="N107" s="6" t="n"/>
      <c r="O107" s="9">
        <f>IF($N107="","",WORKDAY($N107,5,Listas!$O$2:$O$200))</f>
        <v/>
      </c>
      <c r="P107" s="10">
        <f>IF($O107="","",IF($O107&gt;=TODAY(),NETWORKDAYS(TODAY(),$O107,Listas!$O$2:$O$200)-1,NETWORKDAYS(TODAY(),$O107,Listas!$O$2:$O$200)+1))</f>
        <v/>
      </c>
      <c r="Q107" s="11">
        <f>IF($O107="","",IF($R107="Finalizado","Concluído",IF($R107="Usuário desistiu","Encerrado",IF($P107&lt;0,"Atrasado",IF($P107=0,"Vence hoje","No prazo")))))</f>
        <v/>
      </c>
      <c r="S107" s="7" t="b">
        <v>0</v>
      </c>
      <c r="T107" s="6" t="n"/>
      <c r="U107" s="12">
        <f>IF(COUNTIF(Checklist!$A$2:$A$3000,$A107)=0,"",COUNTIFS(Checklist!$A$2:$A$3000,$A107,Checklist!$C$2:$C$3000,TRUE)/COUNTIF(Checklist!$A$2:$A$3000,$A107))</f>
        <v/>
      </c>
      <c r="V107" s="6" t="n"/>
      <c r="Y107" s="7" t="b">
        <v>0</v>
      </c>
      <c r="Z107" s="6" t="n"/>
    </row>
    <row r="108">
      <c r="C108" s="6" t="n"/>
      <c r="E108" s="7" t="n"/>
      <c r="J108" s="8">
        <f>IF($I108="","",IFERROR(VLOOKUP($I108,Listas!$A$2:$B$100,2,FALSE),"—"))</f>
        <v/>
      </c>
      <c r="M108" s="7" t="b">
        <v>0</v>
      </c>
      <c r="N108" s="6" t="n"/>
      <c r="O108" s="9">
        <f>IF($N108="","",WORKDAY($N108,5,Listas!$O$2:$O$200))</f>
        <v/>
      </c>
      <c r="P108" s="10">
        <f>IF($O108="","",IF($O108&gt;=TODAY(),NETWORKDAYS(TODAY(),$O108,Listas!$O$2:$O$200)-1,NETWORKDAYS(TODAY(),$O108,Listas!$O$2:$O$200)+1))</f>
        <v/>
      </c>
      <c r="Q108" s="11">
        <f>IF($O108="","",IF($R108="Finalizado","Concluído",IF($R108="Usuário desistiu","Encerrado",IF($P108&lt;0,"Atrasado",IF($P108=0,"Vence hoje","No prazo")))))</f>
        <v/>
      </c>
      <c r="S108" s="7" t="b">
        <v>0</v>
      </c>
      <c r="T108" s="6" t="n"/>
      <c r="U108" s="12">
        <f>IF(COUNTIF(Checklist!$A$2:$A$3000,$A108)=0,"",COUNTIFS(Checklist!$A$2:$A$3000,$A108,Checklist!$C$2:$C$3000,TRUE)/COUNTIF(Checklist!$A$2:$A$3000,$A108))</f>
        <v/>
      </c>
      <c r="V108" s="6" t="n"/>
      <c r="Y108" s="7" t="b">
        <v>0</v>
      </c>
      <c r="Z108" s="6" t="n"/>
    </row>
    <row r="109">
      <c r="C109" s="6" t="n"/>
      <c r="E109" s="7" t="n"/>
      <c r="J109" s="8">
        <f>IF($I109="","",IFERROR(VLOOKUP($I109,Listas!$A$2:$B$100,2,FALSE),"—"))</f>
        <v/>
      </c>
      <c r="M109" s="7" t="b">
        <v>0</v>
      </c>
      <c r="N109" s="6" t="n"/>
      <c r="O109" s="9">
        <f>IF($N109="","",WORKDAY($N109,5,Listas!$O$2:$O$200))</f>
        <v/>
      </c>
      <c r="P109" s="10">
        <f>IF($O109="","",IF($O109&gt;=TODAY(),NETWORKDAYS(TODAY(),$O109,Listas!$O$2:$O$200)-1,NETWORKDAYS(TODAY(),$O109,Listas!$O$2:$O$200)+1))</f>
        <v/>
      </c>
      <c r="Q109" s="11">
        <f>IF($O109="","",IF($R109="Finalizado","Concluído",IF($R109="Usuário desistiu","Encerrado",IF($P109&lt;0,"Atrasado",IF($P109=0,"Vence hoje","No prazo")))))</f>
        <v/>
      </c>
      <c r="S109" s="7" t="b">
        <v>0</v>
      </c>
      <c r="T109" s="6" t="n"/>
      <c r="U109" s="12">
        <f>IF(COUNTIF(Checklist!$A$2:$A$3000,$A109)=0,"",COUNTIFS(Checklist!$A$2:$A$3000,$A109,Checklist!$C$2:$C$3000,TRUE)/COUNTIF(Checklist!$A$2:$A$3000,$A109))</f>
        <v/>
      </c>
      <c r="V109" s="6" t="n"/>
      <c r="Y109" s="7" t="b">
        <v>0</v>
      </c>
      <c r="Z109" s="6" t="n"/>
    </row>
    <row r="110">
      <c r="C110" s="6" t="n"/>
      <c r="E110" s="7" t="n"/>
      <c r="J110" s="8">
        <f>IF($I110="","",IFERROR(VLOOKUP($I110,Listas!$A$2:$B$100,2,FALSE),"—"))</f>
        <v/>
      </c>
      <c r="M110" s="7" t="b">
        <v>0</v>
      </c>
      <c r="N110" s="6" t="n"/>
      <c r="O110" s="9">
        <f>IF($N110="","",WORKDAY($N110,5,Listas!$O$2:$O$200))</f>
        <v/>
      </c>
      <c r="P110" s="10">
        <f>IF($O110="","",IF($O110&gt;=TODAY(),NETWORKDAYS(TODAY(),$O110,Listas!$O$2:$O$200)-1,NETWORKDAYS(TODAY(),$O110,Listas!$O$2:$O$200)+1))</f>
        <v/>
      </c>
      <c r="Q110" s="11">
        <f>IF($O110="","",IF($R110="Finalizado","Concluído",IF($R110="Usuário desistiu","Encerrado",IF($P110&lt;0,"Atrasado",IF($P110=0,"Vence hoje","No prazo")))))</f>
        <v/>
      </c>
      <c r="S110" s="7" t="b">
        <v>0</v>
      </c>
      <c r="T110" s="6" t="n"/>
      <c r="U110" s="12">
        <f>IF(COUNTIF(Checklist!$A$2:$A$3000,$A110)=0,"",COUNTIFS(Checklist!$A$2:$A$3000,$A110,Checklist!$C$2:$C$3000,TRUE)/COUNTIF(Checklist!$A$2:$A$3000,$A110))</f>
        <v/>
      </c>
      <c r="V110" s="6" t="n"/>
      <c r="Y110" s="7" t="b">
        <v>0</v>
      </c>
      <c r="Z110" s="6" t="n"/>
    </row>
    <row r="111">
      <c r="C111" s="6" t="n"/>
      <c r="E111" s="7" t="n"/>
      <c r="J111" s="8">
        <f>IF($I111="","",IFERROR(VLOOKUP($I111,Listas!$A$2:$B$100,2,FALSE),"—"))</f>
        <v/>
      </c>
      <c r="M111" s="7" t="b">
        <v>0</v>
      </c>
      <c r="N111" s="6" t="n"/>
      <c r="O111" s="9">
        <f>IF($N111="","",WORKDAY($N111,5,Listas!$O$2:$O$200))</f>
        <v/>
      </c>
      <c r="P111" s="10">
        <f>IF($O111="","",IF($O111&gt;=TODAY(),NETWORKDAYS(TODAY(),$O111,Listas!$O$2:$O$200)-1,NETWORKDAYS(TODAY(),$O111,Listas!$O$2:$O$200)+1))</f>
        <v/>
      </c>
      <c r="Q111" s="11">
        <f>IF($O111="","",IF($R111="Finalizado","Concluído",IF($R111="Usuário desistiu","Encerrado",IF($P111&lt;0,"Atrasado",IF($P111=0,"Vence hoje","No prazo")))))</f>
        <v/>
      </c>
      <c r="S111" s="7" t="b">
        <v>0</v>
      </c>
      <c r="T111" s="6" t="n"/>
      <c r="U111" s="12">
        <f>IF(COUNTIF(Checklist!$A$2:$A$3000,$A111)=0,"",COUNTIFS(Checklist!$A$2:$A$3000,$A111,Checklist!$C$2:$C$3000,TRUE)/COUNTIF(Checklist!$A$2:$A$3000,$A111))</f>
        <v/>
      </c>
      <c r="V111" s="6" t="n"/>
      <c r="Y111" s="7" t="b">
        <v>0</v>
      </c>
      <c r="Z111" s="6" t="n"/>
    </row>
    <row r="112">
      <c r="C112" s="6" t="n"/>
      <c r="E112" s="7" t="n"/>
      <c r="J112" s="8">
        <f>IF($I112="","",IFERROR(VLOOKUP($I112,Listas!$A$2:$B$100,2,FALSE),"—"))</f>
        <v/>
      </c>
      <c r="M112" s="7" t="b">
        <v>0</v>
      </c>
      <c r="N112" s="6" t="n"/>
      <c r="O112" s="9">
        <f>IF($N112="","",WORKDAY($N112,5,Listas!$O$2:$O$200))</f>
        <v/>
      </c>
      <c r="P112" s="10">
        <f>IF($O112="","",IF($O112&gt;=TODAY(),NETWORKDAYS(TODAY(),$O112,Listas!$O$2:$O$200)-1,NETWORKDAYS(TODAY(),$O112,Listas!$O$2:$O$200)+1))</f>
        <v/>
      </c>
      <c r="Q112" s="11">
        <f>IF($O112="","",IF($R112="Finalizado","Concluído",IF($R112="Usuário desistiu","Encerrado",IF($P112&lt;0,"Atrasado",IF($P112=0,"Vence hoje","No prazo")))))</f>
        <v/>
      </c>
      <c r="S112" s="7" t="b">
        <v>0</v>
      </c>
      <c r="T112" s="6" t="n"/>
      <c r="U112" s="12">
        <f>IF(COUNTIF(Checklist!$A$2:$A$3000,$A112)=0,"",COUNTIFS(Checklist!$A$2:$A$3000,$A112,Checklist!$C$2:$C$3000,TRUE)/COUNTIF(Checklist!$A$2:$A$3000,$A112))</f>
        <v/>
      </c>
      <c r="V112" s="6" t="n"/>
      <c r="Y112" s="7" t="b">
        <v>0</v>
      </c>
      <c r="Z112" s="6" t="n"/>
    </row>
    <row r="113">
      <c r="C113" s="6" t="n"/>
      <c r="E113" s="7" t="n"/>
      <c r="J113" s="8">
        <f>IF($I113="","",IFERROR(VLOOKUP($I113,Listas!$A$2:$B$100,2,FALSE),"—"))</f>
        <v/>
      </c>
      <c r="M113" s="7" t="b">
        <v>0</v>
      </c>
      <c r="N113" s="6" t="n"/>
      <c r="O113" s="9">
        <f>IF($N113="","",WORKDAY($N113,5,Listas!$O$2:$O$200))</f>
        <v/>
      </c>
      <c r="P113" s="10">
        <f>IF($O113="","",IF($O113&gt;=TODAY(),NETWORKDAYS(TODAY(),$O113,Listas!$O$2:$O$200)-1,NETWORKDAYS(TODAY(),$O113,Listas!$O$2:$O$200)+1))</f>
        <v/>
      </c>
      <c r="Q113" s="11">
        <f>IF($O113="","",IF($R113="Finalizado","Concluído",IF($R113="Usuário desistiu","Encerrado",IF($P113&lt;0,"Atrasado",IF($P113=0,"Vence hoje","No prazo")))))</f>
        <v/>
      </c>
      <c r="S113" s="7" t="b">
        <v>0</v>
      </c>
      <c r="T113" s="6" t="n"/>
      <c r="U113" s="12">
        <f>IF(COUNTIF(Checklist!$A$2:$A$3000,$A113)=0,"",COUNTIFS(Checklist!$A$2:$A$3000,$A113,Checklist!$C$2:$C$3000,TRUE)/COUNTIF(Checklist!$A$2:$A$3000,$A113))</f>
        <v/>
      </c>
      <c r="V113" s="6" t="n"/>
      <c r="Y113" s="7" t="b">
        <v>0</v>
      </c>
      <c r="Z113" s="6" t="n"/>
    </row>
    <row r="114">
      <c r="C114" s="6" t="n"/>
      <c r="E114" s="7" t="n"/>
      <c r="J114" s="8">
        <f>IF($I114="","",IFERROR(VLOOKUP($I114,Listas!$A$2:$B$100,2,FALSE),"—"))</f>
        <v/>
      </c>
      <c r="M114" s="7" t="b">
        <v>0</v>
      </c>
      <c r="N114" s="6" t="n"/>
      <c r="O114" s="9">
        <f>IF($N114="","",WORKDAY($N114,5,Listas!$O$2:$O$200))</f>
        <v/>
      </c>
      <c r="P114" s="10">
        <f>IF($O114="","",IF($O114&gt;=TODAY(),NETWORKDAYS(TODAY(),$O114,Listas!$O$2:$O$200)-1,NETWORKDAYS(TODAY(),$O114,Listas!$O$2:$O$200)+1))</f>
        <v/>
      </c>
      <c r="Q114" s="11">
        <f>IF($O114="","",IF($R114="Finalizado","Concluído",IF($R114="Usuário desistiu","Encerrado",IF($P114&lt;0,"Atrasado",IF($P114=0,"Vence hoje","No prazo")))))</f>
        <v/>
      </c>
      <c r="S114" s="7" t="b">
        <v>0</v>
      </c>
      <c r="T114" s="6" t="n"/>
      <c r="U114" s="12">
        <f>IF(COUNTIF(Checklist!$A$2:$A$3000,$A114)=0,"",COUNTIFS(Checklist!$A$2:$A$3000,$A114,Checklist!$C$2:$C$3000,TRUE)/COUNTIF(Checklist!$A$2:$A$3000,$A114))</f>
        <v/>
      </c>
      <c r="V114" s="6" t="n"/>
      <c r="Y114" s="7" t="b">
        <v>0</v>
      </c>
      <c r="Z114" s="6" t="n"/>
    </row>
    <row r="115">
      <c r="C115" s="6" t="n"/>
      <c r="E115" s="7" t="n"/>
      <c r="J115" s="8">
        <f>IF($I115="","",IFERROR(VLOOKUP($I115,Listas!$A$2:$B$100,2,FALSE),"—"))</f>
        <v/>
      </c>
      <c r="M115" s="7" t="b">
        <v>0</v>
      </c>
      <c r="N115" s="6" t="n"/>
      <c r="O115" s="9">
        <f>IF($N115="","",WORKDAY($N115,5,Listas!$O$2:$O$200))</f>
        <v/>
      </c>
      <c r="P115" s="10">
        <f>IF($O115="","",IF($O115&gt;=TODAY(),NETWORKDAYS(TODAY(),$O115,Listas!$O$2:$O$200)-1,NETWORKDAYS(TODAY(),$O115,Listas!$O$2:$O$200)+1))</f>
        <v/>
      </c>
      <c r="Q115" s="11">
        <f>IF($O115="","",IF($R115="Finalizado","Concluído",IF($R115="Usuário desistiu","Encerrado",IF($P115&lt;0,"Atrasado",IF($P115=0,"Vence hoje","No prazo")))))</f>
        <v/>
      </c>
      <c r="S115" s="7" t="b">
        <v>0</v>
      </c>
      <c r="T115" s="6" t="n"/>
      <c r="U115" s="12">
        <f>IF(COUNTIF(Checklist!$A$2:$A$3000,$A115)=0,"",COUNTIFS(Checklist!$A$2:$A$3000,$A115,Checklist!$C$2:$C$3000,TRUE)/COUNTIF(Checklist!$A$2:$A$3000,$A115))</f>
        <v/>
      </c>
      <c r="V115" s="6" t="n"/>
      <c r="Y115" s="7" t="b">
        <v>0</v>
      </c>
      <c r="Z115" s="6" t="n"/>
    </row>
    <row r="116">
      <c r="C116" s="6" t="n"/>
      <c r="E116" s="7" t="n"/>
      <c r="J116" s="8">
        <f>IF($I116="","",IFERROR(VLOOKUP($I116,Listas!$A$2:$B$100,2,FALSE),"—"))</f>
        <v/>
      </c>
      <c r="M116" s="7" t="b">
        <v>0</v>
      </c>
      <c r="N116" s="6" t="n"/>
      <c r="O116" s="9">
        <f>IF($N116="","",WORKDAY($N116,5,Listas!$O$2:$O$200))</f>
        <v/>
      </c>
      <c r="P116" s="10">
        <f>IF($O116="","",IF($O116&gt;=TODAY(),NETWORKDAYS(TODAY(),$O116,Listas!$O$2:$O$200)-1,NETWORKDAYS(TODAY(),$O116,Listas!$O$2:$O$200)+1))</f>
        <v/>
      </c>
      <c r="Q116" s="11">
        <f>IF($O116="","",IF($R116="Finalizado","Concluído",IF($R116="Usuário desistiu","Encerrado",IF($P116&lt;0,"Atrasado",IF($P116=0,"Vence hoje","No prazo")))))</f>
        <v/>
      </c>
      <c r="S116" s="7" t="b">
        <v>0</v>
      </c>
      <c r="T116" s="6" t="n"/>
      <c r="U116" s="12">
        <f>IF(COUNTIF(Checklist!$A$2:$A$3000,$A116)=0,"",COUNTIFS(Checklist!$A$2:$A$3000,$A116,Checklist!$C$2:$C$3000,TRUE)/COUNTIF(Checklist!$A$2:$A$3000,$A116))</f>
        <v/>
      </c>
      <c r="V116" s="6" t="n"/>
      <c r="Y116" s="7" t="b">
        <v>0</v>
      </c>
      <c r="Z116" s="6" t="n"/>
    </row>
    <row r="117">
      <c r="C117" s="6" t="n"/>
      <c r="E117" s="7" t="n"/>
      <c r="J117" s="8">
        <f>IF($I117="","",IFERROR(VLOOKUP($I117,Listas!$A$2:$B$100,2,FALSE),"—"))</f>
        <v/>
      </c>
      <c r="M117" s="7" t="b">
        <v>0</v>
      </c>
      <c r="N117" s="6" t="n"/>
      <c r="O117" s="9">
        <f>IF($N117="","",WORKDAY($N117,5,Listas!$O$2:$O$200))</f>
        <v/>
      </c>
      <c r="P117" s="10">
        <f>IF($O117="","",IF($O117&gt;=TODAY(),NETWORKDAYS(TODAY(),$O117,Listas!$O$2:$O$200)-1,NETWORKDAYS(TODAY(),$O117,Listas!$O$2:$O$200)+1))</f>
        <v/>
      </c>
      <c r="Q117" s="11">
        <f>IF($O117="","",IF($R117="Finalizado","Concluído",IF($R117="Usuário desistiu","Encerrado",IF($P117&lt;0,"Atrasado",IF($P117=0,"Vence hoje","No prazo")))))</f>
        <v/>
      </c>
      <c r="S117" s="7" t="b">
        <v>0</v>
      </c>
      <c r="T117" s="6" t="n"/>
      <c r="U117" s="12">
        <f>IF(COUNTIF(Checklist!$A$2:$A$3000,$A117)=0,"",COUNTIFS(Checklist!$A$2:$A$3000,$A117,Checklist!$C$2:$C$3000,TRUE)/COUNTIF(Checklist!$A$2:$A$3000,$A117))</f>
        <v/>
      </c>
      <c r="V117" s="6" t="n"/>
      <c r="Y117" s="7" t="b">
        <v>0</v>
      </c>
      <c r="Z117" s="6" t="n"/>
    </row>
    <row r="118">
      <c r="C118" s="6" t="n"/>
      <c r="E118" s="7" t="n"/>
      <c r="J118" s="8">
        <f>IF($I118="","",IFERROR(VLOOKUP($I118,Listas!$A$2:$B$100,2,FALSE),"—"))</f>
        <v/>
      </c>
      <c r="M118" s="7" t="b">
        <v>0</v>
      </c>
      <c r="N118" s="6" t="n"/>
      <c r="O118" s="9">
        <f>IF($N118="","",WORKDAY($N118,5,Listas!$O$2:$O$200))</f>
        <v/>
      </c>
      <c r="P118" s="10">
        <f>IF($O118="","",IF($O118&gt;=TODAY(),NETWORKDAYS(TODAY(),$O118,Listas!$O$2:$O$200)-1,NETWORKDAYS(TODAY(),$O118,Listas!$O$2:$O$200)+1))</f>
        <v/>
      </c>
      <c r="Q118" s="11">
        <f>IF($O118="","",IF($R118="Finalizado","Concluído",IF($R118="Usuário desistiu","Encerrado",IF($P118&lt;0,"Atrasado",IF($P118=0,"Vence hoje","No prazo")))))</f>
        <v/>
      </c>
      <c r="S118" s="7" t="b">
        <v>0</v>
      </c>
      <c r="T118" s="6" t="n"/>
      <c r="U118" s="12">
        <f>IF(COUNTIF(Checklist!$A$2:$A$3000,$A118)=0,"",COUNTIFS(Checklist!$A$2:$A$3000,$A118,Checklist!$C$2:$C$3000,TRUE)/COUNTIF(Checklist!$A$2:$A$3000,$A118))</f>
        <v/>
      </c>
      <c r="V118" s="6" t="n"/>
      <c r="Y118" s="7" t="b">
        <v>0</v>
      </c>
      <c r="Z118" s="6" t="n"/>
    </row>
    <row r="119">
      <c r="C119" s="6" t="n"/>
      <c r="E119" s="7" t="n"/>
      <c r="J119" s="8">
        <f>IF($I119="","",IFERROR(VLOOKUP($I119,Listas!$A$2:$B$100,2,FALSE),"—"))</f>
        <v/>
      </c>
      <c r="M119" s="7" t="b">
        <v>0</v>
      </c>
      <c r="N119" s="6" t="n"/>
      <c r="O119" s="9">
        <f>IF($N119="","",WORKDAY($N119,5,Listas!$O$2:$O$200))</f>
        <v/>
      </c>
      <c r="P119" s="10">
        <f>IF($O119="","",IF($O119&gt;=TODAY(),NETWORKDAYS(TODAY(),$O119,Listas!$O$2:$O$200)-1,NETWORKDAYS(TODAY(),$O119,Listas!$O$2:$O$200)+1))</f>
        <v/>
      </c>
      <c r="Q119" s="11">
        <f>IF($O119="","",IF($R119="Finalizado","Concluído",IF($R119="Usuário desistiu","Encerrado",IF($P119&lt;0,"Atrasado",IF($P119=0,"Vence hoje","No prazo")))))</f>
        <v/>
      </c>
      <c r="S119" s="7" t="b">
        <v>0</v>
      </c>
      <c r="T119" s="6" t="n"/>
      <c r="U119" s="12">
        <f>IF(COUNTIF(Checklist!$A$2:$A$3000,$A119)=0,"",COUNTIFS(Checklist!$A$2:$A$3000,$A119,Checklist!$C$2:$C$3000,TRUE)/COUNTIF(Checklist!$A$2:$A$3000,$A119))</f>
        <v/>
      </c>
      <c r="V119" s="6" t="n"/>
      <c r="Y119" s="7" t="b">
        <v>0</v>
      </c>
      <c r="Z119" s="6" t="n"/>
    </row>
    <row r="120">
      <c r="C120" s="6" t="n"/>
      <c r="E120" s="7" t="n"/>
      <c r="J120" s="8">
        <f>IF($I120="","",IFERROR(VLOOKUP($I120,Listas!$A$2:$B$100,2,FALSE),"—"))</f>
        <v/>
      </c>
      <c r="M120" s="7" t="b">
        <v>0</v>
      </c>
      <c r="N120" s="6" t="n"/>
      <c r="O120" s="9">
        <f>IF($N120="","",WORKDAY($N120,5,Listas!$O$2:$O$200))</f>
        <v/>
      </c>
      <c r="P120" s="10">
        <f>IF($O120="","",IF($O120&gt;=TODAY(),NETWORKDAYS(TODAY(),$O120,Listas!$O$2:$O$200)-1,NETWORKDAYS(TODAY(),$O120,Listas!$O$2:$O$200)+1))</f>
        <v/>
      </c>
      <c r="Q120" s="11">
        <f>IF($O120="","",IF($R120="Finalizado","Concluído",IF($R120="Usuário desistiu","Encerrado",IF($P120&lt;0,"Atrasado",IF($P120=0,"Vence hoje","No prazo")))))</f>
        <v/>
      </c>
      <c r="S120" s="7" t="b">
        <v>0</v>
      </c>
      <c r="T120" s="6" t="n"/>
      <c r="U120" s="12">
        <f>IF(COUNTIF(Checklist!$A$2:$A$3000,$A120)=0,"",COUNTIFS(Checklist!$A$2:$A$3000,$A120,Checklist!$C$2:$C$3000,TRUE)/COUNTIF(Checklist!$A$2:$A$3000,$A120))</f>
        <v/>
      </c>
      <c r="V120" s="6" t="n"/>
      <c r="Y120" s="7" t="b">
        <v>0</v>
      </c>
      <c r="Z120" s="6" t="n"/>
    </row>
    <row r="121">
      <c r="C121" s="6" t="n"/>
      <c r="E121" s="7" t="n"/>
      <c r="J121" s="8">
        <f>IF($I121="","",IFERROR(VLOOKUP($I121,Listas!$A$2:$B$100,2,FALSE),"—"))</f>
        <v/>
      </c>
      <c r="M121" s="7" t="b">
        <v>0</v>
      </c>
      <c r="N121" s="6" t="n"/>
      <c r="O121" s="9">
        <f>IF($N121="","",WORKDAY($N121,5,Listas!$O$2:$O$200))</f>
        <v/>
      </c>
      <c r="P121" s="10">
        <f>IF($O121="","",IF($O121&gt;=TODAY(),NETWORKDAYS(TODAY(),$O121,Listas!$O$2:$O$200)-1,NETWORKDAYS(TODAY(),$O121,Listas!$O$2:$O$200)+1))</f>
        <v/>
      </c>
      <c r="Q121" s="11">
        <f>IF($O121="","",IF($R121="Finalizado","Concluído",IF($R121="Usuário desistiu","Encerrado",IF($P121&lt;0,"Atrasado",IF($P121=0,"Vence hoje","No prazo")))))</f>
        <v/>
      </c>
      <c r="S121" s="7" t="b">
        <v>0</v>
      </c>
      <c r="T121" s="6" t="n"/>
      <c r="U121" s="12">
        <f>IF(COUNTIF(Checklist!$A$2:$A$3000,$A121)=0,"",COUNTIFS(Checklist!$A$2:$A$3000,$A121,Checklist!$C$2:$C$3000,TRUE)/COUNTIF(Checklist!$A$2:$A$3000,$A121))</f>
        <v/>
      </c>
      <c r="V121" s="6" t="n"/>
      <c r="Y121" s="7" t="b">
        <v>0</v>
      </c>
      <c r="Z121" s="6" t="n"/>
    </row>
    <row r="122">
      <c r="C122" s="6" t="n"/>
      <c r="E122" s="7" t="n"/>
      <c r="J122" s="8">
        <f>IF($I122="","",IFERROR(VLOOKUP($I122,Listas!$A$2:$B$100,2,FALSE),"—"))</f>
        <v/>
      </c>
      <c r="M122" s="7" t="b">
        <v>0</v>
      </c>
      <c r="N122" s="6" t="n"/>
      <c r="O122" s="9">
        <f>IF($N122="","",WORKDAY($N122,5,Listas!$O$2:$O$200))</f>
        <v/>
      </c>
      <c r="P122" s="10">
        <f>IF($O122="","",IF($O122&gt;=TODAY(),NETWORKDAYS(TODAY(),$O122,Listas!$O$2:$O$200)-1,NETWORKDAYS(TODAY(),$O122,Listas!$O$2:$O$200)+1))</f>
        <v/>
      </c>
      <c r="Q122" s="11">
        <f>IF($O122="","",IF($R122="Finalizado","Concluído",IF($R122="Usuário desistiu","Encerrado",IF($P122&lt;0,"Atrasado",IF($P122=0,"Vence hoje","No prazo")))))</f>
        <v/>
      </c>
      <c r="S122" s="7" t="b">
        <v>0</v>
      </c>
      <c r="T122" s="6" t="n"/>
      <c r="U122" s="12">
        <f>IF(COUNTIF(Checklist!$A$2:$A$3000,$A122)=0,"",COUNTIFS(Checklist!$A$2:$A$3000,$A122,Checklist!$C$2:$C$3000,TRUE)/COUNTIF(Checklist!$A$2:$A$3000,$A122))</f>
        <v/>
      </c>
      <c r="V122" s="6" t="n"/>
      <c r="Y122" s="7" t="b">
        <v>0</v>
      </c>
      <c r="Z122" s="6" t="n"/>
    </row>
    <row r="123">
      <c r="C123" s="6" t="n"/>
      <c r="E123" s="7" t="n"/>
      <c r="J123" s="8">
        <f>IF($I123="","",IFERROR(VLOOKUP($I123,Listas!$A$2:$B$100,2,FALSE),"—"))</f>
        <v/>
      </c>
      <c r="M123" s="7" t="b">
        <v>0</v>
      </c>
      <c r="N123" s="6" t="n"/>
      <c r="O123" s="9">
        <f>IF($N123="","",WORKDAY($N123,5,Listas!$O$2:$O$200))</f>
        <v/>
      </c>
      <c r="P123" s="10">
        <f>IF($O123="","",IF($O123&gt;=TODAY(),NETWORKDAYS(TODAY(),$O123,Listas!$O$2:$O$200)-1,NETWORKDAYS(TODAY(),$O123,Listas!$O$2:$O$200)+1))</f>
        <v/>
      </c>
      <c r="Q123" s="11">
        <f>IF($O123="","",IF($R123="Finalizado","Concluído",IF($R123="Usuário desistiu","Encerrado",IF($P123&lt;0,"Atrasado",IF($P123=0,"Vence hoje","No prazo")))))</f>
        <v/>
      </c>
      <c r="S123" s="7" t="b">
        <v>0</v>
      </c>
      <c r="T123" s="6" t="n"/>
      <c r="U123" s="12">
        <f>IF(COUNTIF(Checklist!$A$2:$A$3000,$A123)=0,"",COUNTIFS(Checklist!$A$2:$A$3000,$A123,Checklist!$C$2:$C$3000,TRUE)/COUNTIF(Checklist!$A$2:$A$3000,$A123))</f>
        <v/>
      </c>
      <c r="V123" s="6" t="n"/>
      <c r="Y123" s="7" t="b">
        <v>0</v>
      </c>
      <c r="Z123" s="6" t="n"/>
    </row>
    <row r="124">
      <c r="C124" s="6" t="n"/>
      <c r="E124" s="7" t="n"/>
      <c r="J124" s="8">
        <f>IF($I124="","",IFERROR(VLOOKUP($I124,Listas!$A$2:$B$100,2,FALSE),"—"))</f>
        <v/>
      </c>
      <c r="M124" s="7" t="b">
        <v>0</v>
      </c>
      <c r="N124" s="6" t="n"/>
      <c r="O124" s="9">
        <f>IF($N124="","",WORKDAY($N124,5,Listas!$O$2:$O$200))</f>
        <v/>
      </c>
      <c r="P124" s="10">
        <f>IF($O124="","",IF($O124&gt;=TODAY(),NETWORKDAYS(TODAY(),$O124,Listas!$O$2:$O$200)-1,NETWORKDAYS(TODAY(),$O124,Listas!$O$2:$O$200)+1))</f>
        <v/>
      </c>
      <c r="Q124" s="11">
        <f>IF($O124="","",IF($R124="Finalizado","Concluído",IF($R124="Usuário desistiu","Encerrado",IF($P124&lt;0,"Atrasado",IF($P124=0,"Vence hoje","No prazo")))))</f>
        <v/>
      </c>
      <c r="S124" s="7" t="b">
        <v>0</v>
      </c>
      <c r="T124" s="6" t="n"/>
      <c r="U124" s="12">
        <f>IF(COUNTIF(Checklist!$A$2:$A$3000,$A124)=0,"",COUNTIFS(Checklist!$A$2:$A$3000,$A124,Checklist!$C$2:$C$3000,TRUE)/COUNTIF(Checklist!$A$2:$A$3000,$A124))</f>
        <v/>
      </c>
      <c r="V124" s="6" t="n"/>
      <c r="Y124" s="7" t="b">
        <v>0</v>
      </c>
      <c r="Z124" s="6" t="n"/>
    </row>
    <row r="125">
      <c r="C125" s="6" t="n"/>
      <c r="E125" s="7" t="n"/>
      <c r="J125" s="8">
        <f>IF($I125="","",IFERROR(VLOOKUP($I125,Listas!$A$2:$B$100,2,FALSE),"—"))</f>
        <v/>
      </c>
      <c r="M125" s="7" t="b">
        <v>0</v>
      </c>
      <c r="N125" s="6" t="n"/>
      <c r="O125" s="9">
        <f>IF($N125="","",WORKDAY($N125,5,Listas!$O$2:$O$200))</f>
        <v/>
      </c>
      <c r="P125" s="10">
        <f>IF($O125="","",IF($O125&gt;=TODAY(),NETWORKDAYS(TODAY(),$O125,Listas!$O$2:$O$200)-1,NETWORKDAYS(TODAY(),$O125,Listas!$O$2:$O$200)+1))</f>
        <v/>
      </c>
      <c r="Q125" s="11">
        <f>IF($O125="","",IF($R125="Finalizado","Concluído",IF($R125="Usuário desistiu","Encerrado",IF($P125&lt;0,"Atrasado",IF($P125=0,"Vence hoje","No prazo")))))</f>
        <v/>
      </c>
      <c r="S125" s="7" t="b">
        <v>0</v>
      </c>
      <c r="T125" s="6" t="n"/>
      <c r="U125" s="12">
        <f>IF(COUNTIF(Checklist!$A$2:$A$3000,$A125)=0,"",COUNTIFS(Checklist!$A$2:$A$3000,$A125,Checklist!$C$2:$C$3000,TRUE)/COUNTIF(Checklist!$A$2:$A$3000,$A125))</f>
        <v/>
      </c>
      <c r="V125" s="6" t="n"/>
      <c r="Y125" s="7" t="b">
        <v>0</v>
      </c>
      <c r="Z125" s="6" t="n"/>
    </row>
    <row r="126">
      <c r="C126" s="6" t="n"/>
      <c r="E126" s="7" t="n"/>
      <c r="J126" s="8">
        <f>IF($I126="","",IFERROR(VLOOKUP($I126,Listas!$A$2:$B$100,2,FALSE),"—"))</f>
        <v/>
      </c>
      <c r="M126" s="7" t="b">
        <v>0</v>
      </c>
      <c r="N126" s="6" t="n"/>
      <c r="O126" s="9">
        <f>IF($N126="","",WORKDAY($N126,5,Listas!$O$2:$O$200))</f>
        <v/>
      </c>
      <c r="P126" s="10">
        <f>IF($O126="","",IF($O126&gt;=TODAY(),NETWORKDAYS(TODAY(),$O126,Listas!$O$2:$O$200)-1,NETWORKDAYS(TODAY(),$O126,Listas!$O$2:$O$200)+1))</f>
        <v/>
      </c>
      <c r="Q126" s="11">
        <f>IF($O126="","",IF($R126="Finalizado","Concluído",IF($R126="Usuário desistiu","Encerrado",IF($P126&lt;0,"Atrasado",IF($P126=0,"Vence hoje","No prazo")))))</f>
        <v/>
      </c>
      <c r="S126" s="7" t="b">
        <v>0</v>
      </c>
      <c r="T126" s="6" t="n"/>
      <c r="U126" s="12">
        <f>IF(COUNTIF(Checklist!$A$2:$A$3000,$A126)=0,"",COUNTIFS(Checklist!$A$2:$A$3000,$A126,Checklist!$C$2:$C$3000,TRUE)/COUNTIF(Checklist!$A$2:$A$3000,$A126))</f>
        <v/>
      </c>
      <c r="V126" s="6" t="n"/>
      <c r="Y126" s="7" t="b">
        <v>0</v>
      </c>
      <c r="Z126" s="6" t="n"/>
    </row>
    <row r="127">
      <c r="C127" s="6" t="n"/>
      <c r="E127" s="7" t="n"/>
      <c r="J127" s="8">
        <f>IF($I127="","",IFERROR(VLOOKUP($I127,Listas!$A$2:$B$100,2,FALSE),"—"))</f>
        <v/>
      </c>
      <c r="M127" s="7" t="b">
        <v>0</v>
      </c>
      <c r="N127" s="6" t="n"/>
      <c r="O127" s="9">
        <f>IF($N127="","",WORKDAY($N127,5,Listas!$O$2:$O$200))</f>
        <v/>
      </c>
      <c r="P127" s="10">
        <f>IF($O127="","",IF($O127&gt;=TODAY(),NETWORKDAYS(TODAY(),$O127,Listas!$O$2:$O$200)-1,NETWORKDAYS(TODAY(),$O127,Listas!$O$2:$O$200)+1))</f>
        <v/>
      </c>
      <c r="Q127" s="11">
        <f>IF($O127="","",IF($R127="Finalizado","Concluído",IF($R127="Usuário desistiu","Encerrado",IF($P127&lt;0,"Atrasado",IF($P127=0,"Vence hoje","No prazo")))))</f>
        <v/>
      </c>
      <c r="S127" s="7" t="b">
        <v>0</v>
      </c>
      <c r="T127" s="6" t="n"/>
      <c r="U127" s="12">
        <f>IF(COUNTIF(Checklist!$A$2:$A$3000,$A127)=0,"",COUNTIFS(Checklist!$A$2:$A$3000,$A127,Checklist!$C$2:$C$3000,TRUE)/COUNTIF(Checklist!$A$2:$A$3000,$A127))</f>
        <v/>
      </c>
      <c r="V127" s="6" t="n"/>
      <c r="Y127" s="7" t="b">
        <v>0</v>
      </c>
      <c r="Z127" s="6" t="n"/>
    </row>
    <row r="128">
      <c r="C128" s="6" t="n"/>
      <c r="E128" s="7" t="n"/>
      <c r="J128" s="8">
        <f>IF($I128="","",IFERROR(VLOOKUP($I128,Listas!$A$2:$B$100,2,FALSE),"—"))</f>
        <v/>
      </c>
      <c r="M128" s="7" t="b">
        <v>0</v>
      </c>
      <c r="N128" s="6" t="n"/>
      <c r="O128" s="9">
        <f>IF($N128="","",WORKDAY($N128,5,Listas!$O$2:$O$200))</f>
        <v/>
      </c>
      <c r="P128" s="10">
        <f>IF($O128="","",IF($O128&gt;=TODAY(),NETWORKDAYS(TODAY(),$O128,Listas!$O$2:$O$200)-1,NETWORKDAYS(TODAY(),$O128,Listas!$O$2:$O$200)+1))</f>
        <v/>
      </c>
      <c r="Q128" s="11">
        <f>IF($O128="","",IF($R128="Finalizado","Concluído",IF($R128="Usuário desistiu","Encerrado",IF($P128&lt;0,"Atrasado",IF($P128=0,"Vence hoje","No prazo")))))</f>
        <v/>
      </c>
      <c r="S128" s="7" t="b">
        <v>0</v>
      </c>
      <c r="T128" s="6" t="n"/>
      <c r="U128" s="12">
        <f>IF(COUNTIF(Checklist!$A$2:$A$3000,$A128)=0,"",COUNTIFS(Checklist!$A$2:$A$3000,$A128,Checklist!$C$2:$C$3000,TRUE)/COUNTIF(Checklist!$A$2:$A$3000,$A128))</f>
        <v/>
      </c>
      <c r="V128" s="6" t="n"/>
      <c r="Y128" s="7" t="b">
        <v>0</v>
      </c>
      <c r="Z128" s="6" t="n"/>
    </row>
    <row r="129">
      <c r="C129" s="6" t="n"/>
      <c r="E129" s="7" t="n"/>
      <c r="J129" s="8">
        <f>IF($I129="","",IFERROR(VLOOKUP($I129,Listas!$A$2:$B$100,2,FALSE),"—"))</f>
        <v/>
      </c>
      <c r="M129" s="7" t="b">
        <v>0</v>
      </c>
      <c r="N129" s="6" t="n"/>
      <c r="O129" s="9">
        <f>IF($N129="","",WORKDAY($N129,5,Listas!$O$2:$O$200))</f>
        <v/>
      </c>
      <c r="P129" s="10">
        <f>IF($O129="","",IF($O129&gt;=TODAY(),NETWORKDAYS(TODAY(),$O129,Listas!$O$2:$O$200)-1,NETWORKDAYS(TODAY(),$O129,Listas!$O$2:$O$200)+1))</f>
        <v/>
      </c>
      <c r="Q129" s="11">
        <f>IF($O129="","",IF($R129="Finalizado","Concluído",IF($R129="Usuário desistiu","Encerrado",IF($P129&lt;0,"Atrasado",IF($P129=0,"Vence hoje","No prazo")))))</f>
        <v/>
      </c>
      <c r="S129" s="7" t="b">
        <v>0</v>
      </c>
      <c r="T129" s="6" t="n"/>
      <c r="U129" s="12">
        <f>IF(COUNTIF(Checklist!$A$2:$A$3000,$A129)=0,"",COUNTIFS(Checklist!$A$2:$A$3000,$A129,Checklist!$C$2:$C$3000,TRUE)/COUNTIF(Checklist!$A$2:$A$3000,$A129))</f>
        <v/>
      </c>
      <c r="V129" s="6" t="n"/>
      <c r="Y129" s="7" t="b">
        <v>0</v>
      </c>
      <c r="Z129" s="6" t="n"/>
    </row>
    <row r="130">
      <c r="C130" s="6" t="n"/>
      <c r="E130" s="7" t="n"/>
      <c r="J130" s="8">
        <f>IF($I130="","",IFERROR(VLOOKUP($I130,Listas!$A$2:$B$100,2,FALSE),"—"))</f>
        <v/>
      </c>
      <c r="M130" s="7" t="b">
        <v>0</v>
      </c>
      <c r="N130" s="6" t="n"/>
      <c r="O130" s="9">
        <f>IF($N130="","",WORKDAY($N130,5,Listas!$O$2:$O$200))</f>
        <v/>
      </c>
      <c r="P130" s="10">
        <f>IF($O130="","",IF($O130&gt;=TODAY(),NETWORKDAYS(TODAY(),$O130,Listas!$O$2:$O$200)-1,NETWORKDAYS(TODAY(),$O130,Listas!$O$2:$O$200)+1))</f>
        <v/>
      </c>
      <c r="Q130" s="11">
        <f>IF($O130="","",IF($R130="Finalizado","Concluído",IF($R130="Usuário desistiu","Encerrado",IF($P130&lt;0,"Atrasado",IF($P130=0,"Vence hoje","No prazo")))))</f>
        <v/>
      </c>
      <c r="S130" s="7" t="b">
        <v>0</v>
      </c>
      <c r="T130" s="6" t="n"/>
      <c r="U130" s="12">
        <f>IF(COUNTIF(Checklist!$A$2:$A$3000,$A130)=0,"",COUNTIFS(Checklist!$A$2:$A$3000,$A130,Checklist!$C$2:$C$3000,TRUE)/COUNTIF(Checklist!$A$2:$A$3000,$A130))</f>
        <v/>
      </c>
      <c r="V130" s="6" t="n"/>
      <c r="Y130" s="7" t="b">
        <v>0</v>
      </c>
      <c r="Z130" s="6" t="n"/>
    </row>
    <row r="131">
      <c r="C131" s="6" t="n"/>
      <c r="E131" s="7" t="n"/>
      <c r="J131" s="8">
        <f>IF($I131="","",IFERROR(VLOOKUP($I131,Listas!$A$2:$B$100,2,FALSE),"—"))</f>
        <v/>
      </c>
      <c r="M131" s="7" t="b">
        <v>0</v>
      </c>
      <c r="N131" s="6" t="n"/>
      <c r="O131" s="9">
        <f>IF($N131="","",WORKDAY($N131,5,Listas!$O$2:$O$200))</f>
        <v/>
      </c>
      <c r="P131" s="10">
        <f>IF($O131="","",IF($O131&gt;=TODAY(),NETWORKDAYS(TODAY(),$O131,Listas!$O$2:$O$200)-1,NETWORKDAYS(TODAY(),$O131,Listas!$O$2:$O$200)+1))</f>
        <v/>
      </c>
      <c r="Q131" s="11">
        <f>IF($O131="","",IF($R131="Finalizado","Concluído",IF($R131="Usuário desistiu","Encerrado",IF($P131&lt;0,"Atrasado",IF($P131=0,"Vence hoje","No prazo")))))</f>
        <v/>
      </c>
      <c r="S131" s="7" t="b">
        <v>0</v>
      </c>
      <c r="T131" s="6" t="n"/>
      <c r="U131" s="12">
        <f>IF(COUNTIF(Checklist!$A$2:$A$3000,$A131)=0,"",COUNTIFS(Checklist!$A$2:$A$3000,$A131,Checklist!$C$2:$C$3000,TRUE)/COUNTIF(Checklist!$A$2:$A$3000,$A131))</f>
        <v/>
      </c>
      <c r="V131" s="6" t="n"/>
      <c r="Y131" s="7" t="b">
        <v>0</v>
      </c>
      <c r="Z131" s="6" t="n"/>
    </row>
    <row r="132">
      <c r="C132" s="6" t="n"/>
      <c r="E132" s="7" t="n"/>
      <c r="J132" s="8">
        <f>IF($I132="","",IFERROR(VLOOKUP($I132,Listas!$A$2:$B$100,2,FALSE),"—"))</f>
        <v/>
      </c>
      <c r="M132" s="7" t="b">
        <v>0</v>
      </c>
      <c r="N132" s="6" t="n"/>
      <c r="O132" s="9">
        <f>IF($N132="","",WORKDAY($N132,5,Listas!$O$2:$O$200))</f>
        <v/>
      </c>
      <c r="P132" s="10">
        <f>IF($O132="","",IF($O132&gt;=TODAY(),NETWORKDAYS(TODAY(),$O132,Listas!$O$2:$O$200)-1,NETWORKDAYS(TODAY(),$O132,Listas!$O$2:$O$200)+1))</f>
        <v/>
      </c>
      <c r="Q132" s="11">
        <f>IF($O132="","",IF($R132="Finalizado","Concluído",IF($R132="Usuário desistiu","Encerrado",IF($P132&lt;0,"Atrasado",IF($P132=0,"Vence hoje","No prazo")))))</f>
        <v/>
      </c>
      <c r="S132" s="7" t="b">
        <v>0</v>
      </c>
      <c r="T132" s="6" t="n"/>
      <c r="U132" s="12">
        <f>IF(COUNTIF(Checklist!$A$2:$A$3000,$A132)=0,"",COUNTIFS(Checklist!$A$2:$A$3000,$A132,Checklist!$C$2:$C$3000,TRUE)/COUNTIF(Checklist!$A$2:$A$3000,$A132))</f>
        <v/>
      </c>
      <c r="V132" s="6" t="n"/>
      <c r="Y132" s="7" t="b">
        <v>0</v>
      </c>
      <c r="Z132" s="6" t="n"/>
    </row>
    <row r="133">
      <c r="C133" s="6" t="n"/>
      <c r="E133" s="7" t="n"/>
      <c r="J133" s="8">
        <f>IF($I133="","",IFERROR(VLOOKUP($I133,Listas!$A$2:$B$100,2,FALSE),"—"))</f>
        <v/>
      </c>
      <c r="M133" s="7" t="b">
        <v>0</v>
      </c>
      <c r="N133" s="6" t="n"/>
      <c r="O133" s="9">
        <f>IF($N133="","",WORKDAY($N133,5,Listas!$O$2:$O$200))</f>
        <v/>
      </c>
      <c r="P133" s="10">
        <f>IF($O133="","",IF($O133&gt;=TODAY(),NETWORKDAYS(TODAY(),$O133,Listas!$O$2:$O$200)-1,NETWORKDAYS(TODAY(),$O133,Listas!$O$2:$O$200)+1))</f>
        <v/>
      </c>
      <c r="Q133" s="11">
        <f>IF($O133="","",IF($R133="Finalizado","Concluído",IF($R133="Usuário desistiu","Encerrado",IF($P133&lt;0,"Atrasado",IF($P133=0,"Vence hoje","No prazo")))))</f>
        <v/>
      </c>
      <c r="S133" s="7" t="b">
        <v>0</v>
      </c>
      <c r="T133" s="6" t="n"/>
      <c r="U133" s="12">
        <f>IF(COUNTIF(Checklist!$A$2:$A$3000,$A133)=0,"",COUNTIFS(Checklist!$A$2:$A$3000,$A133,Checklist!$C$2:$C$3000,TRUE)/COUNTIF(Checklist!$A$2:$A$3000,$A133))</f>
        <v/>
      </c>
      <c r="V133" s="6" t="n"/>
      <c r="Y133" s="7" t="b">
        <v>0</v>
      </c>
      <c r="Z133" s="6" t="n"/>
    </row>
    <row r="134">
      <c r="C134" s="6" t="n"/>
      <c r="E134" s="7" t="n"/>
      <c r="J134" s="8">
        <f>IF($I134="","",IFERROR(VLOOKUP($I134,Listas!$A$2:$B$100,2,FALSE),"—"))</f>
        <v/>
      </c>
      <c r="M134" s="7" t="b">
        <v>0</v>
      </c>
      <c r="N134" s="6" t="n"/>
      <c r="O134" s="9">
        <f>IF($N134="","",WORKDAY($N134,5,Listas!$O$2:$O$200))</f>
        <v/>
      </c>
      <c r="P134" s="10">
        <f>IF($O134="","",IF($O134&gt;=TODAY(),NETWORKDAYS(TODAY(),$O134,Listas!$O$2:$O$200)-1,NETWORKDAYS(TODAY(),$O134,Listas!$O$2:$O$200)+1))</f>
        <v/>
      </c>
      <c r="Q134" s="11">
        <f>IF($O134="","",IF($R134="Finalizado","Concluído",IF($R134="Usuário desistiu","Encerrado",IF($P134&lt;0,"Atrasado",IF($P134=0,"Vence hoje","No prazo")))))</f>
        <v/>
      </c>
      <c r="S134" s="7" t="b">
        <v>0</v>
      </c>
      <c r="T134" s="6" t="n"/>
      <c r="U134" s="12">
        <f>IF(COUNTIF(Checklist!$A$2:$A$3000,$A134)=0,"",COUNTIFS(Checklist!$A$2:$A$3000,$A134,Checklist!$C$2:$C$3000,TRUE)/COUNTIF(Checklist!$A$2:$A$3000,$A134))</f>
        <v/>
      </c>
      <c r="V134" s="6" t="n"/>
      <c r="Y134" s="7" t="b">
        <v>0</v>
      </c>
      <c r="Z134" s="6" t="n"/>
    </row>
    <row r="135">
      <c r="C135" s="6" t="n"/>
      <c r="E135" s="7" t="n"/>
      <c r="J135" s="8">
        <f>IF($I135="","",IFERROR(VLOOKUP($I135,Listas!$A$2:$B$100,2,FALSE),"—"))</f>
        <v/>
      </c>
      <c r="M135" s="7" t="b">
        <v>0</v>
      </c>
      <c r="N135" s="6" t="n"/>
      <c r="O135" s="9">
        <f>IF($N135="","",WORKDAY($N135,5,Listas!$O$2:$O$200))</f>
        <v/>
      </c>
      <c r="P135" s="10">
        <f>IF($O135="","",IF($O135&gt;=TODAY(),NETWORKDAYS(TODAY(),$O135,Listas!$O$2:$O$200)-1,NETWORKDAYS(TODAY(),$O135,Listas!$O$2:$O$200)+1))</f>
        <v/>
      </c>
      <c r="Q135" s="11">
        <f>IF($O135="","",IF($R135="Finalizado","Concluído",IF($R135="Usuário desistiu","Encerrado",IF($P135&lt;0,"Atrasado",IF($P135=0,"Vence hoje","No prazo")))))</f>
        <v/>
      </c>
      <c r="S135" s="7" t="b">
        <v>0</v>
      </c>
      <c r="T135" s="6" t="n"/>
      <c r="U135" s="12">
        <f>IF(COUNTIF(Checklist!$A$2:$A$3000,$A135)=0,"",COUNTIFS(Checklist!$A$2:$A$3000,$A135,Checklist!$C$2:$C$3000,TRUE)/COUNTIF(Checklist!$A$2:$A$3000,$A135))</f>
        <v/>
      </c>
      <c r="V135" s="6" t="n"/>
      <c r="Y135" s="7" t="b">
        <v>0</v>
      </c>
      <c r="Z135" s="6" t="n"/>
    </row>
    <row r="136">
      <c r="C136" s="6" t="n"/>
      <c r="E136" s="7" t="n"/>
      <c r="J136" s="8">
        <f>IF($I136="","",IFERROR(VLOOKUP($I136,Listas!$A$2:$B$100,2,FALSE),"—"))</f>
        <v/>
      </c>
      <c r="M136" s="7" t="b">
        <v>0</v>
      </c>
      <c r="N136" s="6" t="n"/>
      <c r="O136" s="9">
        <f>IF($N136="","",WORKDAY($N136,5,Listas!$O$2:$O$200))</f>
        <v/>
      </c>
      <c r="P136" s="10">
        <f>IF($O136="","",IF($O136&gt;=TODAY(),NETWORKDAYS(TODAY(),$O136,Listas!$O$2:$O$200)-1,NETWORKDAYS(TODAY(),$O136,Listas!$O$2:$O$200)+1))</f>
        <v/>
      </c>
      <c r="Q136" s="11">
        <f>IF($O136="","",IF($R136="Finalizado","Concluído",IF($R136="Usuário desistiu","Encerrado",IF($P136&lt;0,"Atrasado",IF($P136=0,"Vence hoje","No prazo")))))</f>
        <v/>
      </c>
      <c r="S136" s="7" t="b">
        <v>0</v>
      </c>
      <c r="T136" s="6" t="n"/>
      <c r="U136" s="12">
        <f>IF(COUNTIF(Checklist!$A$2:$A$3000,$A136)=0,"",COUNTIFS(Checklist!$A$2:$A$3000,$A136,Checklist!$C$2:$C$3000,TRUE)/COUNTIF(Checklist!$A$2:$A$3000,$A136))</f>
        <v/>
      </c>
      <c r="V136" s="6" t="n"/>
      <c r="Y136" s="7" t="b">
        <v>0</v>
      </c>
      <c r="Z136" s="6" t="n"/>
    </row>
    <row r="137">
      <c r="C137" s="6" t="n"/>
      <c r="E137" s="7" t="n"/>
      <c r="J137" s="8">
        <f>IF($I137="","",IFERROR(VLOOKUP($I137,Listas!$A$2:$B$100,2,FALSE),"—"))</f>
        <v/>
      </c>
      <c r="M137" s="7" t="b">
        <v>0</v>
      </c>
      <c r="N137" s="6" t="n"/>
      <c r="O137" s="9">
        <f>IF($N137="","",WORKDAY($N137,5,Listas!$O$2:$O$200))</f>
        <v/>
      </c>
      <c r="P137" s="10">
        <f>IF($O137="","",IF($O137&gt;=TODAY(),NETWORKDAYS(TODAY(),$O137,Listas!$O$2:$O$200)-1,NETWORKDAYS(TODAY(),$O137,Listas!$O$2:$O$200)+1))</f>
        <v/>
      </c>
      <c r="Q137" s="11">
        <f>IF($O137="","",IF($R137="Finalizado","Concluído",IF($R137="Usuário desistiu","Encerrado",IF($P137&lt;0,"Atrasado",IF($P137=0,"Vence hoje","No prazo")))))</f>
        <v/>
      </c>
      <c r="S137" s="7" t="b">
        <v>0</v>
      </c>
      <c r="T137" s="6" t="n"/>
      <c r="U137" s="12">
        <f>IF(COUNTIF(Checklist!$A$2:$A$3000,$A137)=0,"",COUNTIFS(Checklist!$A$2:$A$3000,$A137,Checklist!$C$2:$C$3000,TRUE)/COUNTIF(Checklist!$A$2:$A$3000,$A137))</f>
        <v/>
      </c>
      <c r="V137" s="6" t="n"/>
      <c r="Y137" s="7" t="b">
        <v>0</v>
      </c>
      <c r="Z137" s="6" t="n"/>
    </row>
    <row r="138">
      <c r="C138" s="6" t="n"/>
      <c r="E138" s="7" t="n"/>
      <c r="J138" s="8">
        <f>IF($I138="","",IFERROR(VLOOKUP($I138,Listas!$A$2:$B$100,2,FALSE),"—"))</f>
        <v/>
      </c>
      <c r="M138" s="7" t="b">
        <v>0</v>
      </c>
      <c r="N138" s="6" t="n"/>
      <c r="O138" s="9">
        <f>IF($N138="","",WORKDAY($N138,5,Listas!$O$2:$O$200))</f>
        <v/>
      </c>
      <c r="P138" s="10">
        <f>IF($O138="","",IF($O138&gt;=TODAY(),NETWORKDAYS(TODAY(),$O138,Listas!$O$2:$O$200)-1,NETWORKDAYS(TODAY(),$O138,Listas!$O$2:$O$200)+1))</f>
        <v/>
      </c>
      <c r="Q138" s="11">
        <f>IF($O138="","",IF($R138="Finalizado","Concluído",IF($R138="Usuário desistiu","Encerrado",IF($P138&lt;0,"Atrasado",IF($P138=0,"Vence hoje","No prazo")))))</f>
        <v/>
      </c>
      <c r="S138" s="7" t="b">
        <v>0</v>
      </c>
      <c r="T138" s="6" t="n"/>
      <c r="U138" s="12">
        <f>IF(COUNTIF(Checklist!$A$2:$A$3000,$A138)=0,"",COUNTIFS(Checklist!$A$2:$A$3000,$A138,Checklist!$C$2:$C$3000,TRUE)/COUNTIF(Checklist!$A$2:$A$3000,$A138))</f>
        <v/>
      </c>
      <c r="V138" s="6" t="n"/>
      <c r="Y138" s="7" t="b">
        <v>0</v>
      </c>
      <c r="Z138" s="6" t="n"/>
    </row>
    <row r="139">
      <c r="C139" s="6" t="n"/>
      <c r="E139" s="7" t="n"/>
      <c r="J139" s="8">
        <f>IF($I139="","",IFERROR(VLOOKUP($I139,Listas!$A$2:$B$100,2,FALSE),"—"))</f>
        <v/>
      </c>
      <c r="M139" s="7" t="b">
        <v>0</v>
      </c>
      <c r="N139" s="6" t="n"/>
      <c r="O139" s="9">
        <f>IF($N139="","",WORKDAY($N139,5,Listas!$O$2:$O$200))</f>
        <v/>
      </c>
      <c r="P139" s="10">
        <f>IF($O139="","",IF($O139&gt;=TODAY(),NETWORKDAYS(TODAY(),$O139,Listas!$O$2:$O$200)-1,NETWORKDAYS(TODAY(),$O139,Listas!$O$2:$O$200)+1))</f>
        <v/>
      </c>
      <c r="Q139" s="11">
        <f>IF($O139="","",IF($R139="Finalizado","Concluído",IF($R139="Usuário desistiu","Encerrado",IF($P139&lt;0,"Atrasado",IF($P139=0,"Vence hoje","No prazo")))))</f>
        <v/>
      </c>
      <c r="S139" s="7" t="b">
        <v>0</v>
      </c>
      <c r="T139" s="6" t="n"/>
      <c r="U139" s="12">
        <f>IF(COUNTIF(Checklist!$A$2:$A$3000,$A139)=0,"",COUNTIFS(Checklist!$A$2:$A$3000,$A139,Checklist!$C$2:$C$3000,TRUE)/COUNTIF(Checklist!$A$2:$A$3000,$A139))</f>
        <v/>
      </c>
      <c r="V139" s="6" t="n"/>
      <c r="Y139" s="7" t="b">
        <v>0</v>
      </c>
      <c r="Z139" s="6" t="n"/>
    </row>
    <row r="140">
      <c r="C140" s="6" t="n"/>
      <c r="E140" s="7" t="n"/>
      <c r="J140" s="8">
        <f>IF($I140="","",IFERROR(VLOOKUP($I140,Listas!$A$2:$B$100,2,FALSE),"—"))</f>
        <v/>
      </c>
      <c r="M140" s="7" t="b">
        <v>0</v>
      </c>
      <c r="N140" s="6" t="n"/>
      <c r="O140" s="9">
        <f>IF($N140="","",WORKDAY($N140,5,Listas!$O$2:$O$200))</f>
        <v/>
      </c>
      <c r="P140" s="10">
        <f>IF($O140="","",IF($O140&gt;=TODAY(),NETWORKDAYS(TODAY(),$O140,Listas!$O$2:$O$200)-1,NETWORKDAYS(TODAY(),$O140,Listas!$O$2:$O$200)+1))</f>
        <v/>
      </c>
      <c r="Q140" s="11">
        <f>IF($O140="","",IF($R140="Finalizado","Concluído",IF($R140="Usuário desistiu","Encerrado",IF($P140&lt;0,"Atrasado",IF($P140=0,"Vence hoje","No prazo")))))</f>
        <v/>
      </c>
      <c r="S140" s="7" t="b">
        <v>0</v>
      </c>
      <c r="T140" s="6" t="n"/>
      <c r="U140" s="12">
        <f>IF(COUNTIF(Checklist!$A$2:$A$3000,$A140)=0,"",COUNTIFS(Checklist!$A$2:$A$3000,$A140,Checklist!$C$2:$C$3000,TRUE)/COUNTIF(Checklist!$A$2:$A$3000,$A140))</f>
        <v/>
      </c>
      <c r="V140" s="6" t="n"/>
      <c r="Y140" s="7" t="b">
        <v>0</v>
      </c>
      <c r="Z140" s="6" t="n"/>
    </row>
    <row r="141">
      <c r="C141" s="6" t="n"/>
      <c r="E141" s="7" t="n"/>
      <c r="J141" s="8">
        <f>IF($I141="","",IFERROR(VLOOKUP($I141,Listas!$A$2:$B$100,2,FALSE),"—"))</f>
        <v/>
      </c>
      <c r="M141" s="7" t="b">
        <v>0</v>
      </c>
      <c r="N141" s="6" t="n"/>
      <c r="O141" s="9">
        <f>IF($N141="","",WORKDAY($N141,5,Listas!$O$2:$O$200))</f>
        <v/>
      </c>
      <c r="P141" s="10">
        <f>IF($O141="","",IF($O141&gt;=TODAY(),NETWORKDAYS(TODAY(),$O141,Listas!$O$2:$O$200)-1,NETWORKDAYS(TODAY(),$O141,Listas!$O$2:$O$200)+1))</f>
        <v/>
      </c>
      <c r="Q141" s="11">
        <f>IF($O141="","",IF($R141="Finalizado","Concluído",IF($R141="Usuário desistiu","Encerrado",IF($P141&lt;0,"Atrasado",IF($P141=0,"Vence hoje","No prazo")))))</f>
        <v/>
      </c>
      <c r="S141" s="7" t="b">
        <v>0</v>
      </c>
      <c r="T141" s="6" t="n"/>
      <c r="U141" s="12">
        <f>IF(COUNTIF(Checklist!$A$2:$A$3000,$A141)=0,"",COUNTIFS(Checklist!$A$2:$A$3000,$A141,Checklist!$C$2:$C$3000,TRUE)/COUNTIF(Checklist!$A$2:$A$3000,$A141))</f>
        <v/>
      </c>
      <c r="V141" s="6" t="n"/>
      <c r="Y141" s="7" t="b">
        <v>0</v>
      </c>
      <c r="Z141" s="6" t="n"/>
    </row>
    <row r="142">
      <c r="C142" s="6" t="n"/>
      <c r="E142" s="7" t="n"/>
      <c r="J142" s="8">
        <f>IF($I142="","",IFERROR(VLOOKUP($I142,Listas!$A$2:$B$100,2,FALSE),"—"))</f>
        <v/>
      </c>
      <c r="M142" s="7" t="b">
        <v>0</v>
      </c>
      <c r="N142" s="6" t="n"/>
      <c r="O142" s="9">
        <f>IF($N142="","",WORKDAY($N142,5,Listas!$O$2:$O$200))</f>
        <v/>
      </c>
      <c r="P142" s="10">
        <f>IF($O142="","",IF($O142&gt;=TODAY(),NETWORKDAYS(TODAY(),$O142,Listas!$O$2:$O$200)-1,NETWORKDAYS(TODAY(),$O142,Listas!$O$2:$O$200)+1))</f>
        <v/>
      </c>
      <c r="Q142" s="11">
        <f>IF($O142="","",IF($R142="Finalizado","Concluído",IF($R142="Usuário desistiu","Encerrado",IF($P142&lt;0,"Atrasado",IF($P142=0,"Vence hoje","No prazo")))))</f>
        <v/>
      </c>
      <c r="S142" s="7" t="b">
        <v>0</v>
      </c>
      <c r="T142" s="6" t="n"/>
      <c r="U142" s="12">
        <f>IF(COUNTIF(Checklist!$A$2:$A$3000,$A142)=0,"",COUNTIFS(Checklist!$A$2:$A$3000,$A142,Checklist!$C$2:$C$3000,TRUE)/COUNTIF(Checklist!$A$2:$A$3000,$A142))</f>
        <v/>
      </c>
      <c r="V142" s="6" t="n"/>
      <c r="Y142" s="7" t="b">
        <v>0</v>
      </c>
      <c r="Z142" s="6" t="n"/>
    </row>
    <row r="143">
      <c r="C143" s="6" t="n"/>
      <c r="E143" s="7" t="n"/>
      <c r="J143" s="8">
        <f>IF($I143="","",IFERROR(VLOOKUP($I143,Listas!$A$2:$B$100,2,FALSE),"—"))</f>
        <v/>
      </c>
      <c r="M143" s="7" t="b">
        <v>0</v>
      </c>
      <c r="N143" s="6" t="n"/>
      <c r="O143" s="9">
        <f>IF($N143="","",WORKDAY($N143,5,Listas!$O$2:$O$200))</f>
        <v/>
      </c>
      <c r="P143" s="10">
        <f>IF($O143="","",IF($O143&gt;=TODAY(),NETWORKDAYS(TODAY(),$O143,Listas!$O$2:$O$200)-1,NETWORKDAYS(TODAY(),$O143,Listas!$O$2:$O$200)+1))</f>
        <v/>
      </c>
      <c r="Q143" s="11">
        <f>IF($O143="","",IF($R143="Finalizado","Concluído",IF($R143="Usuário desistiu","Encerrado",IF($P143&lt;0,"Atrasado",IF($P143=0,"Vence hoje","No prazo")))))</f>
        <v/>
      </c>
      <c r="S143" s="7" t="b">
        <v>0</v>
      </c>
      <c r="T143" s="6" t="n"/>
      <c r="U143" s="12">
        <f>IF(COUNTIF(Checklist!$A$2:$A$3000,$A143)=0,"",COUNTIFS(Checklist!$A$2:$A$3000,$A143,Checklist!$C$2:$C$3000,TRUE)/COUNTIF(Checklist!$A$2:$A$3000,$A143))</f>
        <v/>
      </c>
      <c r="V143" s="6" t="n"/>
      <c r="Y143" s="7" t="b">
        <v>0</v>
      </c>
      <c r="Z143" s="6" t="n"/>
    </row>
    <row r="144">
      <c r="C144" s="6" t="n"/>
      <c r="E144" s="7" t="n"/>
      <c r="J144" s="8">
        <f>IF($I144="","",IFERROR(VLOOKUP($I144,Listas!$A$2:$B$100,2,FALSE),"—"))</f>
        <v/>
      </c>
      <c r="M144" s="7" t="b">
        <v>0</v>
      </c>
      <c r="N144" s="6" t="n"/>
      <c r="O144" s="9">
        <f>IF($N144="","",WORKDAY($N144,5,Listas!$O$2:$O$200))</f>
        <v/>
      </c>
      <c r="P144" s="10">
        <f>IF($O144="","",IF($O144&gt;=TODAY(),NETWORKDAYS(TODAY(),$O144,Listas!$O$2:$O$200)-1,NETWORKDAYS(TODAY(),$O144,Listas!$O$2:$O$200)+1))</f>
        <v/>
      </c>
      <c r="Q144" s="11">
        <f>IF($O144="","",IF($R144="Finalizado","Concluído",IF($R144="Usuário desistiu","Encerrado",IF($P144&lt;0,"Atrasado",IF($P144=0,"Vence hoje","No prazo")))))</f>
        <v/>
      </c>
      <c r="S144" s="7" t="b">
        <v>0</v>
      </c>
      <c r="T144" s="6" t="n"/>
      <c r="U144" s="12">
        <f>IF(COUNTIF(Checklist!$A$2:$A$3000,$A144)=0,"",COUNTIFS(Checklist!$A$2:$A$3000,$A144,Checklist!$C$2:$C$3000,TRUE)/COUNTIF(Checklist!$A$2:$A$3000,$A144))</f>
        <v/>
      </c>
      <c r="V144" s="6" t="n"/>
      <c r="Y144" s="7" t="b">
        <v>0</v>
      </c>
      <c r="Z144" s="6" t="n"/>
    </row>
    <row r="145">
      <c r="C145" s="6" t="n"/>
      <c r="E145" s="7" t="n"/>
      <c r="J145" s="8">
        <f>IF($I145="","",IFERROR(VLOOKUP($I145,Listas!$A$2:$B$100,2,FALSE),"—"))</f>
        <v/>
      </c>
      <c r="M145" s="7" t="b">
        <v>0</v>
      </c>
      <c r="N145" s="6" t="n"/>
      <c r="O145" s="9">
        <f>IF($N145="","",WORKDAY($N145,5,Listas!$O$2:$O$200))</f>
        <v/>
      </c>
      <c r="P145" s="10">
        <f>IF($O145="","",IF($O145&gt;=TODAY(),NETWORKDAYS(TODAY(),$O145,Listas!$O$2:$O$200)-1,NETWORKDAYS(TODAY(),$O145,Listas!$O$2:$O$200)+1))</f>
        <v/>
      </c>
      <c r="Q145" s="11">
        <f>IF($O145="","",IF($R145="Finalizado","Concluído",IF($R145="Usuário desistiu","Encerrado",IF($P145&lt;0,"Atrasado",IF($P145=0,"Vence hoje","No prazo")))))</f>
        <v/>
      </c>
      <c r="S145" s="7" t="b">
        <v>0</v>
      </c>
      <c r="T145" s="6" t="n"/>
      <c r="U145" s="12">
        <f>IF(COUNTIF(Checklist!$A$2:$A$3000,$A145)=0,"",COUNTIFS(Checklist!$A$2:$A$3000,$A145,Checklist!$C$2:$C$3000,TRUE)/COUNTIF(Checklist!$A$2:$A$3000,$A145))</f>
        <v/>
      </c>
      <c r="V145" s="6" t="n"/>
      <c r="Y145" s="7" t="b">
        <v>0</v>
      </c>
      <c r="Z145" s="6" t="n"/>
    </row>
    <row r="146">
      <c r="C146" s="6" t="n"/>
      <c r="E146" s="7" t="n"/>
      <c r="J146" s="8">
        <f>IF($I146="","",IFERROR(VLOOKUP($I146,Listas!$A$2:$B$100,2,FALSE),"—"))</f>
        <v/>
      </c>
      <c r="M146" s="7" t="b">
        <v>0</v>
      </c>
      <c r="N146" s="6" t="n"/>
      <c r="O146" s="9">
        <f>IF($N146="","",WORKDAY($N146,5,Listas!$O$2:$O$200))</f>
        <v/>
      </c>
      <c r="P146" s="10">
        <f>IF($O146="","",IF($O146&gt;=TODAY(),NETWORKDAYS(TODAY(),$O146,Listas!$O$2:$O$200)-1,NETWORKDAYS(TODAY(),$O146,Listas!$O$2:$O$200)+1))</f>
        <v/>
      </c>
      <c r="Q146" s="11">
        <f>IF($O146="","",IF($R146="Finalizado","Concluído",IF($R146="Usuário desistiu","Encerrado",IF($P146&lt;0,"Atrasado",IF($P146=0,"Vence hoje","No prazo")))))</f>
        <v/>
      </c>
      <c r="S146" s="7" t="b">
        <v>0</v>
      </c>
      <c r="T146" s="6" t="n"/>
      <c r="U146" s="12">
        <f>IF(COUNTIF(Checklist!$A$2:$A$3000,$A146)=0,"",COUNTIFS(Checklist!$A$2:$A$3000,$A146,Checklist!$C$2:$C$3000,TRUE)/COUNTIF(Checklist!$A$2:$A$3000,$A146))</f>
        <v/>
      </c>
      <c r="V146" s="6" t="n"/>
      <c r="Y146" s="7" t="b">
        <v>0</v>
      </c>
      <c r="Z146" s="6" t="n"/>
    </row>
    <row r="147">
      <c r="C147" s="6" t="n"/>
      <c r="E147" s="7" t="n"/>
      <c r="J147" s="8">
        <f>IF($I147="","",IFERROR(VLOOKUP($I147,Listas!$A$2:$B$100,2,FALSE),"—"))</f>
        <v/>
      </c>
      <c r="M147" s="7" t="b">
        <v>0</v>
      </c>
      <c r="N147" s="6" t="n"/>
      <c r="O147" s="9">
        <f>IF($N147="","",WORKDAY($N147,5,Listas!$O$2:$O$200))</f>
        <v/>
      </c>
      <c r="P147" s="10">
        <f>IF($O147="","",IF($O147&gt;=TODAY(),NETWORKDAYS(TODAY(),$O147,Listas!$O$2:$O$200)-1,NETWORKDAYS(TODAY(),$O147,Listas!$O$2:$O$200)+1))</f>
        <v/>
      </c>
      <c r="Q147" s="11">
        <f>IF($O147="","",IF($R147="Finalizado","Concluído",IF($R147="Usuário desistiu","Encerrado",IF($P147&lt;0,"Atrasado",IF($P147=0,"Vence hoje","No prazo")))))</f>
        <v/>
      </c>
      <c r="S147" s="7" t="b">
        <v>0</v>
      </c>
      <c r="T147" s="6" t="n"/>
      <c r="U147" s="12">
        <f>IF(COUNTIF(Checklist!$A$2:$A$3000,$A147)=0,"",COUNTIFS(Checklist!$A$2:$A$3000,$A147,Checklist!$C$2:$C$3000,TRUE)/COUNTIF(Checklist!$A$2:$A$3000,$A147))</f>
        <v/>
      </c>
      <c r="V147" s="6" t="n"/>
      <c r="Y147" s="7" t="b">
        <v>0</v>
      </c>
      <c r="Z147" s="6" t="n"/>
    </row>
    <row r="148">
      <c r="C148" s="6" t="n"/>
      <c r="E148" s="7" t="n"/>
      <c r="J148" s="8">
        <f>IF($I148="","",IFERROR(VLOOKUP($I148,Listas!$A$2:$B$100,2,FALSE),"—"))</f>
        <v/>
      </c>
      <c r="M148" s="7" t="b">
        <v>0</v>
      </c>
      <c r="N148" s="6" t="n"/>
      <c r="O148" s="9">
        <f>IF($N148="","",WORKDAY($N148,5,Listas!$O$2:$O$200))</f>
        <v/>
      </c>
      <c r="P148" s="10">
        <f>IF($O148="","",IF($O148&gt;=TODAY(),NETWORKDAYS(TODAY(),$O148,Listas!$O$2:$O$200)-1,NETWORKDAYS(TODAY(),$O148,Listas!$O$2:$O$200)+1))</f>
        <v/>
      </c>
      <c r="Q148" s="11">
        <f>IF($O148="","",IF($R148="Finalizado","Concluído",IF($R148="Usuário desistiu","Encerrado",IF($P148&lt;0,"Atrasado",IF($P148=0,"Vence hoje","No prazo")))))</f>
        <v/>
      </c>
      <c r="S148" s="7" t="b">
        <v>0</v>
      </c>
      <c r="T148" s="6" t="n"/>
      <c r="U148" s="12">
        <f>IF(COUNTIF(Checklist!$A$2:$A$3000,$A148)=0,"",COUNTIFS(Checklist!$A$2:$A$3000,$A148,Checklist!$C$2:$C$3000,TRUE)/COUNTIF(Checklist!$A$2:$A$3000,$A148))</f>
        <v/>
      </c>
      <c r="V148" s="6" t="n"/>
      <c r="Y148" s="7" t="b">
        <v>0</v>
      </c>
      <c r="Z148" s="6" t="n"/>
    </row>
    <row r="149">
      <c r="C149" s="6" t="n"/>
      <c r="E149" s="7" t="n"/>
      <c r="J149" s="8">
        <f>IF($I149="","",IFERROR(VLOOKUP($I149,Listas!$A$2:$B$100,2,FALSE),"—"))</f>
        <v/>
      </c>
      <c r="M149" s="7" t="b">
        <v>0</v>
      </c>
      <c r="N149" s="6" t="n"/>
      <c r="O149" s="9">
        <f>IF($N149="","",WORKDAY($N149,5,Listas!$O$2:$O$200))</f>
        <v/>
      </c>
      <c r="P149" s="10">
        <f>IF($O149="","",IF($O149&gt;=TODAY(),NETWORKDAYS(TODAY(),$O149,Listas!$O$2:$O$200)-1,NETWORKDAYS(TODAY(),$O149,Listas!$O$2:$O$200)+1))</f>
        <v/>
      </c>
      <c r="Q149" s="11">
        <f>IF($O149="","",IF($R149="Finalizado","Concluído",IF($R149="Usuário desistiu","Encerrado",IF($P149&lt;0,"Atrasado",IF($P149=0,"Vence hoje","No prazo")))))</f>
        <v/>
      </c>
      <c r="S149" s="7" t="b">
        <v>0</v>
      </c>
      <c r="T149" s="6" t="n"/>
      <c r="U149" s="12">
        <f>IF(COUNTIF(Checklist!$A$2:$A$3000,$A149)=0,"",COUNTIFS(Checklist!$A$2:$A$3000,$A149,Checklist!$C$2:$C$3000,TRUE)/COUNTIF(Checklist!$A$2:$A$3000,$A149))</f>
        <v/>
      </c>
      <c r="V149" s="6" t="n"/>
      <c r="Y149" s="7" t="b">
        <v>0</v>
      </c>
      <c r="Z149" s="6" t="n"/>
    </row>
    <row r="150">
      <c r="C150" s="6" t="n"/>
      <c r="E150" s="7" t="n"/>
      <c r="J150" s="8">
        <f>IF($I150="","",IFERROR(VLOOKUP($I150,Listas!$A$2:$B$100,2,FALSE),"—"))</f>
        <v/>
      </c>
      <c r="M150" s="7" t="b">
        <v>0</v>
      </c>
      <c r="N150" s="6" t="n"/>
      <c r="O150" s="9">
        <f>IF($N150="","",WORKDAY($N150,5,Listas!$O$2:$O$200))</f>
        <v/>
      </c>
      <c r="P150" s="10">
        <f>IF($O150="","",IF($O150&gt;=TODAY(),NETWORKDAYS(TODAY(),$O150,Listas!$O$2:$O$200)-1,NETWORKDAYS(TODAY(),$O150,Listas!$O$2:$O$200)+1))</f>
        <v/>
      </c>
      <c r="Q150" s="11">
        <f>IF($O150="","",IF($R150="Finalizado","Concluído",IF($R150="Usuário desistiu","Encerrado",IF($P150&lt;0,"Atrasado",IF($P150=0,"Vence hoje","No prazo")))))</f>
        <v/>
      </c>
      <c r="S150" s="7" t="b">
        <v>0</v>
      </c>
      <c r="T150" s="6" t="n"/>
      <c r="U150" s="12">
        <f>IF(COUNTIF(Checklist!$A$2:$A$3000,$A150)=0,"",COUNTIFS(Checklist!$A$2:$A$3000,$A150,Checklist!$C$2:$C$3000,TRUE)/COUNTIF(Checklist!$A$2:$A$3000,$A150))</f>
        <v/>
      </c>
      <c r="V150" s="6" t="n"/>
      <c r="Y150" s="7" t="b">
        <v>0</v>
      </c>
      <c r="Z150" s="6" t="n"/>
    </row>
    <row r="151">
      <c r="C151" s="6" t="n"/>
      <c r="E151" s="7" t="n"/>
      <c r="J151" s="8">
        <f>IF($I151="","",IFERROR(VLOOKUP($I151,Listas!$A$2:$B$100,2,FALSE),"—"))</f>
        <v/>
      </c>
      <c r="M151" s="7" t="b">
        <v>0</v>
      </c>
      <c r="N151" s="6" t="n"/>
      <c r="O151" s="9">
        <f>IF($N151="","",WORKDAY($N151,5,Listas!$O$2:$O$200))</f>
        <v/>
      </c>
      <c r="P151" s="10">
        <f>IF($O151="","",IF($O151&gt;=TODAY(),NETWORKDAYS(TODAY(),$O151,Listas!$O$2:$O$200)-1,NETWORKDAYS(TODAY(),$O151,Listas!$O$2:$O$200)+1))</f>
        <v/>
      </c>
      <c r="Q151" s="11">
        <f>IF($O151="","",IF($R151="Finalizado","Concluído",IF($R151="Usuário desistiu","Encerrado",IF($P151&lt;0,"Atrasado",IF($P151=0,"Vence hoje","No prazo")))))</f>
        <v/>
      </c>
      <c r="S151" s="7" t="b">
        <v>0</v>
      </c>
      <c r="T151" s="6" t="n"/>
      <c r="U151" s="12">
        <f>IF(COUNTIF(Checklist!$A$2:$A$3000,$A151)=0,"",COUNTIFS(Checklist!$A$2:$A$3000,$A151,Checklist!$C$2:$C$3000,TRUE)/COUNTIF(Checklist!$A$2:$A$3000,$A151))</f>
        <v/>
      </c>
      <c r="V151" s="6" t="n"/>
      <c r="Y151" s="7" t="b">
        <v>0</v>
      </c>
      <c r="Z151" s="6" t="n"/>
    </row>
    <row r="152">
      <c r="C152" s="6" t="n"/>
      <c r="E152" s="7" t="n"/>
      <c r="J152" s="8">
        <f>IF($I152="","",IFERROR(VLOOKUP($I152,Listas!$A$2:$B$100,2,FALSE),"—"))</f>
        <v/>
      </c>
      <c r="M152" s="7" t="b">
        <v>0</v>
      </c>
      <c r="N152" s="6" t="n"/>
      <c r="O152" s="9">
        <f>IF($N152="","",WORKDAY($N152,5,Listas!$O$2:$O$200))</f>
        <v/>
      </c>
      <c r="P152" s="10">
        <f>IF($O152="","",IF($O152&gt;=TODAY(),NETWORKDAYS(TODAY(),$O152,Listas!$O$2:$O$200)-1,NETWORKDAYS(TODAY(),$O152,Listas!$O$2:$O$200)+1))</f>
        <v/>
      </c>
      <c r="Q152" s="11">
        <f>IF($O152="","",IF($R152="Finalizado","Concluído",IF($R152="Usuário desistiu","Encerrado",IF($P152&lt;0,"Atrasado",IF($P152=0,"Vence hoje","No prazo")))))</f>
        <v/>
      </c>
      <c r="S152" s="7" t="b">
        <v>0</v>
      </c>
      <c r="T152" s="6" t="n"/>
      <c r="U152" s="12">
        <f>IF(COUNTIF(Checklist!$A$2:$A$3000,$A152)=0,"",COUNTIFS(Checklist!$A$2:$A$3000,$A152,Checklist!$C$2:$C$3000,TRUE)/COUNTIF(Checklist!$A$2:$A$3000,$A152))</f>
        <v/>
      </c>
      <c r="V152" s="6" t="n"/>
      <c r="Y152" s="7" t="b">
        <v>0</v>
      </c>
      <c r="Z152" s="6" t="n"/>
    </row>
    <row r="153">
      <c r="C153" s="6" t="n"/>
      <c r="E153" s="7" t="n"/>
      <c r="J153" s="8">
        <f>IF($I153="","",IFERROR(VLOOKUP($I153,Listas!$A$2:$B$100,2,FALSE),"—"))</f>
        <v/>
      </c>
      <c r="M153" s="7" t="b">
        <v>0</v>
      </c>
      <c r="N153" s="6" t="n"/>
      <c r="O153" s="9">
        <f>IF($N153="","",WORKDAY($N153,5,Listas!$O$2:$O$200))</f>
        <v/>
      </c>
      <c r="P153" s="10">
        <f>IF($O153="","",IF($O153&gt;=TODAY(),NETWORKDAYS(TODAY(),$O153,Listas!$O$2:$O$200)-1,NETWORKDAYS(TODAY(),$O153,Listas!$O$2:$O$200)+1))</f>
        <v/>
      </c>
      <c r="Q153" s="11">
        <f>IF($O153="","",IF($R153="Finalizado","Concluído",IF($R153="Usuário desistiu","Encerrado",IF($P153&lt;0,"Atrasado",IF($P153=0,"Vence hoje","No prazo")))))</f>
        <v/>
      </c>
      <c r="S153" s="7" t="b">
        <v>0</v>
      </c>
      <c r="T153" s="6" t="n"/>
      <c r="U153" s="12">
        <f>IF(COUNTIF(Checklist!$A$2:$A$3000,$A153)=0,"",COUNTIFS(Checklist!$A$2:$A$3000,$A153,Checklist!$C$2:$C$3000,TRUE)/COUNTIF(Checklist!$A$2:$A$3000,$A153))</f>
        <v/>
      </c>
      <c r="V153" s="6" t="n"/>
      <c r="Y153" s="7" t="b">
        <v>0</v>
      </c>
      <c r="Z153" s="6" t="n"/>
    </row>
    <row r="154">
      <c r="C154" s="6" t="n"/>
      <c r="E154" s="7" t="n"/>
      <c r="J154" s="8">
        <f>IF($I154="","",IFERROR(VLOOKUP($I154,Listas!$A$2:$B$100,2,FALSE),"—"))</f>
        <v/>
      </c>
      <c r="M154" s="7" t="b">
        <v>0</v>
      </c>
      <c r="N154" s="6" t="n"/>
      <c r="O154" s="9">
        <f>IF($N154="","",WORKDAY($N154,5,Listas!$O$2:$O$200))</f>
        <v/>
      </c>
      <c r="P154" s="10">
        <f>IF($O154="","",IF($O154&gt;=TODAY(),NETWORKDAYS(TODAY(),$O154,Listas!$O$2:$O$200)-1,NETWORKDAYS(TODAY(),$O154,Listas!$O$2:$O$200)+1))</f>
        <v/>
      </c>
      <c r="Q154" s="11">
        <f>IF($O154="","",IF($R154="Finalizado","Concluído",IF($R154="Usuário desistiu","Encerrado",IF($P154&lt;0,"Atrasado",IF($P154=0,"Vence hoje","No prazo")))))</f>
        <v/>
      </c>
      <c r="S154" s="7" t="b">
        <v>0</v>
      </c>
      <c r="T154" s="6" t="n"/>
      <c r="U154" s="12">
        <f>IF(COUNTIF(Checklist!$A$2:$A$3000,$A154)=0,"",COUNTIFS(Checklist!$A$2:$A$3000,$A154,Checklist!$C$2:$C$3000,TRUE)/COUNTIF(Checklist!$A$2:$A$3000,$A154))</f>
        <v/>
      </c>
      <c r="V154" s="6" t="n"/>
      <c r="Y154" s="7" t="b">
        <v>0</v>
      </c>
      <c r="Z154" s="6" t="n"/>
    </row>
    <row r="155">
      <c r="C155" s="6" t="n"/>
      <c r="E155" s="7" t="n"/>
      <c r="J155" s="8">
        <f>IF($I155="","",IFERROR(VLOOKUP($I155,Listas!$A$2:$B$100,2,FALSE),"—"))</f>
        <v/>
      </c>
      <c r="M155" s="7" t="b">
        <v>0</v>
      </c>
      <c r="N155" s="6" t="n"/>
      <c r="O155" s="9">
        <f>IF($N155="","",WORKDAY($N155,5,Listas!$O$2:$O$200))</f>
        <v/>
      </c>
      <c r="P155" s="10">
        <f>IF($O155="","",IF($O155&gt;=TODAY(),NETWORKDAYS(TODAY(),$O155,Listas!$O$2:$O$200)-1,NETWORKDAYS(TODAY(),$O155,Listas!$O$2:$O$200)+1))</f>
        <v/>
      </c>
      <c r="Q155" s="11">
        <f>IF($O155="","",IF($R155="Finalizado","Concluído",IF($R155="Usuário desistiu","Encerrado",IF($P155&lt;0,"Atrasado",IF($P155=0,"Vence hoje","No prazo")))))</f>
        <v/>
      </c>
      <c r="S155" s="7" t="b">
        <v>0</v>
      </c>
      <c r="T155" s="6" t="n"/>
      <c r="U155" s="12">
        <f>IF(COUNTIF(Checklist!$A$2:$A$3000,$A155)=0,"",COUNTIFS(Checklist!$A$2:$A$3000,$A155,Checklist!$C$2:$C$3000,TRUE)/COUNTIF(Checklist!$A$2:$A$3000,$A155))</f>
        <v/>
      </c>
      <c r="V155" s="6" t="n"/>
      <c r="Y155" s="7" t="b">
        <v>0</v>
      </c>
      <c r="Z155" s="6" t="n"/>
    </row>
    <row r="156">
      <c r="C156" s="6" t="n"/>
      <c r="E156" s="7" t="n"/>
      <c r="J156" s="8">
        <f>IF($I156="","",IFERROR(VLOOKUP($I156,Listas!$A$2:$B$100,2,FALSE),"—"))</f>
        <v/>
      </c>
      <c r="M156" s="7" t="b">
        <v>0</v>
      </c>
      <c r="N156" s="6" t="n"/>
      <c r="O156" s="9">
        <f>IF($N156="","",WORKDAY($N156,5,Listas!$O$2:$O$200))</f>
        <v/>
      </c>
      <c r="P156" s="10">
        <f>IF($O156="","",IF($O156&gt;=TODAY(),NETWORKDAYS(TODAY(),$O156,Listas!$O$2:$O$200)-1,NETWORKDAYS(TODAY(),$O156,Listas!$O$2:$O$200)+1))</f>
        <v/>
      </c>
      <c r="Q156" s="11">
        <f>IF($O156="","",IF($R156="Finalizado","Concluído",IF($R156="Usuário desistiu","Encerrado",IF($P156&lt;0,"Atrasado",IF($P156=0,"Vence hoje","No prazo")))))</f>
        <v/>
      </c>
      <c r="S156" s="7" t="b">
        <v>0</v>
      </c>
      <c r="T156" s="6" t="n"/>
      <c r="U156" s="12">
        <f>IF(COUNTIF(Checklist!$A$2:$A$3000,$A156)=0,"",COUNTIFS(Checklist!$A$2:$A$3000,$A156,Checklist!$C$2:$C$3000,TRUE)/COUNTIF(Checklist!$A$2:$A$3000,$A156))</f>
        <v/>
      </c>
      <c r="V156" s="6" t="n"/>
      <c r="Y156" s="7" t="b">
        <v>0</v>
      </c>
      <c r="Z156" s="6" t="n"/>
    </row>
    <row r="157">
      <c r="C157" s="6" t="n"/>
      <c r="E157" s="7" t="n"/>
      <c r="J157" s="8">
        <f>IF($I157="","",IFERROR(VLOOKUP($I157,Listas!$A$2:$B$100,2,FALSE),"—"))</f>
        <v/>
      </c>
      <c r="M157" s="7" t="b">
        <v>0</v>
      </c>
      <c r="N157" s="6" t="n"/>
      <c r="O157" s="9">
        <f>IF($N157="","",WORKDAY($N157,5,Listas!$O$2:$O$200))</f>
        <v/>
      </c>
      <c r="P157" s="10">
        <f>IF($O157="","",IF($O157&gt;=TODAY(),NETWORKDAYS(TODAY(),$O157,Listas!$O$2:$O$200)-1,NETWORKDAYS(TODAY(),$O157,Listas!$O$2:$O$200)+1))</f>
        <v/>
      </c>
      <c r="Q157" s="11">
        <f>IF($O157="","",IF($R157="Finalizado","Concluído",IF($R157="Usuário desistiu","Encerrado",IF($P157&lt;0,"Atrasado",IF($P157=0,"Vence hoje","No prazo")))))</f>
        <v/>
      </c>
      <c r="S157" s="7" t="b">
        <v>0</v>
      </c>
      <c r="T157" s="6" t="n"/>
      <c r="U157" s="12">
        <f>IF(COUNTIF(Checklist!$A$2:$A$3000,$A157)=0,"",COUNTIFS(Checklist!$A$2:$A$3000,$A157,Checklist!$C$2:$C$3000,TRUE)/COUNTIF(Checklist!$A$2:$A$3000,$A157))</f>
        <v/>
      </c>
      <c r="V157" s="6" t="n"/>
      <c r="Y157" s="7" t="b">
        <v>0</v>
      </c>
      <c r="Z157" s="6" t="n"/>
    </row>
    <row r="158">
      <c r="C158" s="6" t="n"/>
      <c r="E158" s="7" t="n"/>
      <c r="J158" s="8">
        <f>IF($I158="","",IFERROR(VLOOKUP($I158,Listas!$A$2:$B$100,2,FALSE),"—"))</f>
        <v/>
      </c>
      <c r="M158" s="7" t="b">
        <v>0</v>
      </c>
      <c r="N158" s="6" t="n"/>
      <c r="O158" s="9">
        <f>IF($N158="","",WORKDAY($N158,5,Listas!$O$2:$O$200))</f>
        <v/>
      </c>
      <c r="P158" s="10">
        <f>IF($O158="","",IF($O158&gt;=TODAY(),NETWORKDAYS(TODAY(),$O158,Listas!$O$2:$O$200)-1,NETWORKDAYS(TODAY(),$O158,Listas!$O$2:$O$200)+1))</f>
        <v/>
      </c>
      <c r="Q158" s="11">
        <f>IF($O158="","",IF($R158="Finalizado","Concluído",IF($R158="Usuário desistiu","Encerrado",IF($P158&lt;0,"Atrasado",IF($P158=0,"Vence hoje","No prazo")))))</f>
        <v/>
      </c>
      <c r="S158" s="7" t="b">
        <v>0</v>
      </c>
      <c r="T158" s="6" t="n"/>
      <c r="U158" s="12">
        <f>IF(COUNTIF(Checklist!$A$2:$A$3000,$A158)=0,"",COUNTIFS(Checklist!$A$2:$A$3000,$A158,Checklist!$C$2:$C$3000,TRUE)/COUNTIF(Checklist!$A$2:$A$3000,$A158))</f>
        <v/>
      </c>
      <c r="V158" s="6" t="n"/>
      <c r="Y158" s="7" t="b">
        <v>0</v>
      </c>
      <c r="Z158" s="6" t="n"/>
    </row>
    <row r="159">
      <c r="C159" s="6" t="n"/>
      <c r="E159" s="7" t="n"/>
      <c r="J159" s="8">
        <f>IF($I159="","",IFERROR(VLOOKUP($I159,Listas!$A$2:$B$100,2,FALSE),"—"))</f>
        <v/>
      </c>
      <c r="M159" s="7" t="b">
        <v>0</v>
      </c>
      <c r="N159" s="6" t="n"/>
      <c r="O159" s="9">
        <f>IF($N159="","",WORKDAY($N159,5,Listas!$O$2:$O$200))</f>
        <v/>
      </c>
      <c r="P159" s="10">
        <f>IF($O159="","",IF($O159&gt;=TODAY(),NETWORKDAYS(TODAY(),$O159,Listas!$O$2:$O$200)-1,NETWORKDAYS(TODAY(),$O159,Listas!$O$2:$O$200)+1))</f>
        <v/>
      </c>
      <c r="Q159" s="11">
        <f>IF($O159="","",IF($R159="Finalizado","Concluído",IF($R159="Usuário desistiu","Encerrado",IF($P159&lt;0,"Atrasado",IF($P159=0,"Vence hoje","No prazo")))))</f>
        <v/>
      </c>
      <c r="S159" s="7" t="b">
        <v>0</v>
      </c>
      <c r="T159" s="6" t="n"/>
      <c r="U159" s="12">
        <f>IF(COUNTIF(Checklist!$A$2:$A$3000,$A159)=0,"",COUNTIFS(Checklist!$A$2:$A$3000,$A159,Checklist!$C$2:$C$3000,TRUE)/COUNTIF(Checklist!$A$2:$A$3000,$A159))</f>
        <v/>
      </c>
      <c r="V159" s="6" t="n"/>
      <c r="Y159" s="7" t="b">
        <v>0</v>
      </c>
      <c r="Z159" s="6" t="n"/>
    </row>
    <row r="160">
      <c r="C160" s="6" t="n"/>
      <c r="E160" s="7" t="n"/>
      <c r="J160" s="8">
        <f>IF($I160="","",IFERROR(VLOOKUP($I160,Listas!$A$2:$B$100,2,FALSE),"—"))</f>
        <v/>
      </c>
      <c r="M160" s="7" t="b">
        <v>0</v>
      </c>
      <c r="N160" s="6" t="n"/>
      <c r="O160" s="9">
        <f>IF($N160="","",WORKDAY($N160,5,Listas!$O$2:$O$200))</f>
        <v/>
      </c>
      <c r="P160" s="10">
        <f>IF($O160="","",IF($O160&gt;=TODAY(),NETWORKDAYS(TODAY(),$O160,Listas!$O$2:$O$200)-1,NETWORKDAYS(TODAY(),$O160,Listas!$O$2:$O$200)+1))</f>
        <v/>
      </c>
      <c r="Q160" s="11">
        <f>IF($O160="","",IF($R160="Finalizado","Concluído",IF($R160="Usuário desistiu","Encerrado",IF($P160&lt;0,"Atrasado",IF($P160=0,"Vence hoje","No prazo")))))</f>
        <v/>
      </c>
      <c r="S160" s="7" t="b">
        <v>0</v>
      </c>
      <c r="T160" s="6" t="n"/>
      <c r="U160" s="12">
        <f>IF(COUNTIF(Checklist!$A$2:$A$3000,$A160)=0,"",COUNTIFS(Checklist!$A$2:$A$3000,$A160,Checklist!$C$2:$C$3000,TRUE)/COUNTIF(Checklist!$A$2:$A$3000,$A160))</f>
        <v/>
      </c>
      <c r="V160" s="6" t="n"/>
      <c r="Y160" s="7" t="b">
        <v>0</v>
      </c>
      <c r="Z160" s="6" t="n"/>
    </row>
    <row r="161">
      <c r="C161" s="6" t="n"/>
      <c r="E161" s="7" t="n"/>
      <c r="J161" s="8">
        <f>IF($I161="","",IFERROR(VLOOKUP($I161,Listas!$A$2:$B$100,2,FALSE),"—"))</f>
        <v/>
      </c>
      <c r="M161" s="7" t="b">
        <v>0</v>
      </c>
      <c r="N161" s="6" t="n"/>
      <c r="O161" s="9">
        <f>IF($N161="","",WORKDAY($N161,5,Listas!$O$2:$O$200))</f>
        <v/>
      </c>
      <c r="P161" s="10">
        <f>IF($O161="","",IF($O161&gt;=TODAY(),NETWORKDAYS(TODAY(),$O161,Listas!$O$2:$O$200)-1,NETWORKDAYS(TODAY(),$O161,Listas!$O$2:$O$200)+1))</f>
        <v/>
      </c>
      <c r="Q161" s="11">
        <f>IF($O161="","",IF($R161="Finalizado","Concluído",IF($R161="Usuário desistiu","Encerrado",IF($P161&lt;0,"Atrasado",IF($P161=0,"Vence hoje","No prazo")))))</f>
        <v/>
      </c>
      <c r="S161" s="7" t="b">
        <v>0</v>
      </c>
      <c r="T161" s="6" t="n"/>
      <c r="U161" s="12">
        <f>IF(COUNTIF(Checklist!$A$2:$A$3000,$A161)=0,"",COUNTIFS(Checklist!$A$2:$A$3000,$A161,Checklist!$C$2:$C$3000,TRUE)/COUNTIF(Checklist!$A$2:$A$3000,$A161))</f>
        <v/>
      </c>
      <c r="V161" s="6" t="n"/>
      <c r="Y161" s="7" t="b">
        <v>0</v>
      </c>
      <c r="Z161" s="6" t="n"/>
    </row>
    <row r="162">
      <c r="C162" s="6" t="n"/>
      <c r="E162" s="7" t="n"/>
      <c r="J162" s="8">
        <f>IF($I162="","",IFERROR(VLOOKUP($I162,Listas!$A$2:$B$100,2,FALSE),"—"))</f>
        <v/>
      </c>
      <c r="M162" s="7" t="b">
        <v>0</v>
      </c>
      <c r="N162" s="6" t="n"/>
      <c r="O162" s="9">
        <f>IF($N162="","",WORKDAY($N162,5,Listas!$O$2:$O$200))</f>
        <v/>
      </c>
      <c r="P162" s="10">
        <f>IF($O162="","",IF($O162&gt;=TODAY(),NETWORKDAYS(TODAY(),$O162,Listas!$O$2:$O$200)-1,NETWORKDAYS(TODAY(),$O162,Listas!$O$2:$O$200)+1))</f>
        <v/>
      </c>
      <c r="Q162" s="11">
        <f>IF($O162="","",IF($R162="Finalizado","Concluído",IF($R162="Usuário desistiu","Encerrado",IF($P162&lt;0,"Atrasado",IF($P162=0,"Vence hoje","No prazo")))))</f>
        <v/>
      </c>
      <c r="S162" s="7" t="b">
        <v>0</v>
      </c>
      <c r="T162" s="6" t="n"/>
      <c r="U162" s="12">
        <f>IF(COUNTIF(Checklist!$A$2:$A$3000,$A162)=0,"",COUNTIFS(Checklist!$A$2:$A$3000,$A162,Checklist!$C$2:$C$3000,TRUE)/COUNTIF(Checklist!$A$2:$A$3000,$A162))</f>
        <v/>
      </c>
      <c r="V162" s="6" t="n"/>
      <c r="Y162" s="7" t="b">
        <v>0</v>
      </c>
      <c r="Z162" s="6" t="n"/>
    </row>
    <row r="163">
      <c r="C163" s="6" t="n"/>
      <c r="E163" s="7" t="n"/>
      <c r="J163" s="8">
        <f>IF($I163="","",IFERROR(VLOOKUP($I163,Listas!$A$2:$B$100,2,FALSE),"—"))</f>
        <v/>
      </c>
      <c r="M163" s="7" t="b">
        <v>0</v>
      </c>
      <c r="N163" s="6" t="n"/>
      <c r="O163" s="9">
        <f>IF($N163="","",WORKDAY($N163,5,Listas!$O$2:$O$200))</f>
        <v/>
      </c>
      <c r="P163" s="10">
        <f>IF($O163="","",IF($O163&gt;=TODAY(),NETWORKDAYS(TODAY(),$O163,Listas!$O$2:$O$200)-1,NETWORKDAYS(TODAY(),$O163,Listas!$O$2:$O$200)+1))</f>
        <v/>
      </c>
      <c r="Q163" s="11">
        <f>IF($O163="","",IF($R163="Finalizado","Concluído",IF($R163="Usuário desistiu","Encerrado",IF($P163&lt;0,"Atrasado",IF($P163=0,"Vence hoje","No prazo")))))</f>
        <v/>
      </c>
      <c r="S163" s="7" t="b">
        <v>0</v>
      </c>
      <c r="T163" s="6" t="n"/>
      <c r="U163" s="12">
        <f>IF(COUNTIF(Checklist!$A$2:$A$3000,$A163)=0,"",COUNTIFS(Checklist!$A$2:$A$3000,$A163,Checklist!$C$2:$C$3000,TRUE)/COUNTIF(Checklist!$A$2:$A$3000,$A163))</f>
        <v/>
      </c>
      <c r="V163" s="6" t="n"/>
      <c r="Y163" s="7" t="b">
        <v>0</v>
      </c>
      <c r="Z163" s="6" t="n"/>
    </row>
    <row r="164">
      <c r="C164" s="6" t="n"/>
      <c r="E164" s="7" t="n"/>
      <c r="J164" s="8">
        <f>IF($I164="","",IFERROR(VLOOKUP($I164,Listas!$A$2:$B$100,2,FALSE),"—"))</f>
        <v/>
      </c>
      <c r="M164" s="7" t="b">
        <v>0</v>
      </c>
      <c r="N164" s="6" t="n"/>
      <c r="O164" s="9">
        <f>IF($N164="","",WORKDAY($N164,5,Listas!$O$2:$O$200))</f>
        <v/>
      </c>
      <c r="P164" s="10">
        <f>IF($O164="","",IF($O164&gt;=TODAY(),NETWORKDAYS(TODAY(),$O164,Listas!$O$2:$O$200)-1,NETWORKDAYS(TODAY(),$O164,Listas!$O$2:$O$200)+1))</f>
        <v/>
      </c>
      <c r="Q164" s="11">
        <f>IF($O164="","",IF($R164="Finalizado","Concluído",IF($R164="Usuário desistiu","Encerrado",IF($P164&lt;0,"Atrasado",IF($P164=0,"Vence hoje","No prazo")))))</f>
        <v/>
      </c>
      <c r="S164" s="7" t="b">
        <v>0</v>
      </c>
      <c r="T164" s="6" t="n"/>
      <c r="U164" s="12">
        <f>IF(COUNTIF(Checklist!$A$2:$A$3000,$A164)=0,"",COUNTIFS(Checklist!$A$2:$A$3000,$A164,Checklist!$C$2:$C$3000,TRUE)/COUNTIF(Checklist!$A$2:$A$3000,$A164))</f>
        <v/>
      </c>
      <c r="V164" s="6" t="n"/>
      <c r="Y164" s="7" t="b">
        <v>0</v>
      </c>
      <c r="Z164" s="6" t="n"/>
    </row>
    <row r="165">
      <c r="C165" s="6" t="n"/>
      <c r="E165" s="7" t="n"/>
      <c r="J165" s="8">
        <f>IF($I165="","",IFERROR(VLOOKUP($I165,Listas!$A$2:$B$100,2,FALSE),"—"))</f>
        <v/>
      </c>
      <c r="M165" s="7" t="b">
        <v>0</v>
      </c>
      <c r="N165" s="6" t="n"/>
      <c r="O165" s="9">
        <f>IF($N165="","",WORKDAY($N165,5,Listas!$O$2:$O$200))</f>
        <v/>
      </c>
      <c r="P165" s="10">
        <f>IF($O165="","",IF($O165&gt;=TODAY(),NETWORKDAYS(TODAY(),$O165,Listas!$O$2:$O$200)-1,NETWORKDAYS(TODAY(),$O165,Listas!$O$2:$O$200)+1))</f>
        <v/>
      </c>
      <c r="Q165" s="11">
        <f>IF($O165="","",IF($R165="Finalizado","Concluído",IF($R165="Usuário desistiu","Encerrado",IF($P165&lt;0,"Atrasado",IF($P165=0,"Vence hoje","No prazo")))))</f>
        <v/>
      </c>
      <c r="S165" s="7" t="b">
        <v>0</v>
      </c>
      <c r="T165" s="6" t="n"/>
      <c r="U165" s="12">
        <f>IF(COUNTIF(Checklist!$A$2:$A$3000,$A165)=0,"",COUNTIFS(Checklist!$A$2:$A$3000,$A165,Checklist!$C$2:$C$3000,TRUE)/COUNTIF(Checklist!$A$2:$A$3000,$A165))</f>
        <v/>
      </c>
      <c r="V165" s="6" t="n"/>
      <c r="Y165" s="7" t="b">
        <v>0</v>
      </c>
      <c r="Z165" s="6" t="n"/>
    </row>
    <row r="166">
      <c r="C166" s="6" t="n"/>
      <c r="E166" s="7" t="n"/>
      <c r="J166" s="8">
        <f>IF($I166="","",IFERROR(VLOOKUP($I166,Listas!$A$2:$B$100,2,FALSE),"—"))</f>
        <v/>
      </c>
      <c r="M166" s="7" t="b">
        <v>0</v>
      </c>
      <c r="N166" s="6" t="n"/>
      <c r="O166" s="9">
        <f>IF($N166="","",WORKDAY($N166,5,Listas!$O$2:$O$200))</f>
        <v/>
      </c>
      <c r="P166" s="10">
        <f>IF($O166="","",IF($O166&gt;=TODAY(),NETWORKDAYS(TODAY(),$O166,Listas!$O$2:$O$200)-1,NETWORKDAYS(TODAY(),$O166,Listas!$O$2:$O$200)+1))</f>
        <v/>
      </c>
      <c r="Q166" s="11">
        <f>IF($O166="","",IF($R166="Finalizado","Concluído",IF($R166="Usuário desistiu","Encerrado",IF($P166&lt;0,"Atrasado",IF($P166=0,"Vence hoje","No prazo")))))</f>
        <v/>
      </c>
      <c r="S166" s="7" t="b">
        <v>0</v>
      </c>
      <c r="T166" s="6" t="n"/>
      <c r="U166" s="12">
        <f>IF(COUNTIF(Checklist!$A$2:$A$3000,$A166)=0,"",COUNTIFS(Checklist!$A$2:$A$3000,$A166,Checklist!$C$2:$C$3000,TRUE)/COUNTIF(Checklist!$A$2:$A$3000,$A166))</f>
        <v/>
      </c>
      <c r="V166" s="6" t="n"/>
      <c r="Y166" s="7" t="b">
        <v>0</v>
      </c>
      <c r="Z166" s="6" t="n"/>
    </row>
    <row r="167">
      <c r="C167" s="6" t="n"/>
      <c r="E167" s="7" t="n"/>
      <c r="J167" s="8">
        <f>IF($I167="","",IFERROR(VLOOKUP($I167,Listas!$A$2:$B$100,2,FALSE),"—"))</f>
        <v/>
      </c>
      <c r="M167" s="7" t="b">
        <v>0</v>
      </c>
      <c r="N167" s="6" t="n"/>
      <c r="O167" s="9">
        <f>IF($N167="","",WORKDAY($N167,5,Listas!$O$2:$O$200))</f>
        <v/>
      </c>
      <c r="P167" s="10">
        <f>IF($O167="","",IF($O167&gt;=TODAY(),NETWORKDAYS(TODAY(),$O167,Listas!$O$2:$O$200)-1,NETWORKDAYS(TODAY(),$O167,Listas!$O$2:$O$200)+1))</f>
        <v/>
      </c>
      <c r="Q167" s="11">
        <f>IF($O167="","",IF($R167="Finalizado","Concluído",IF($R167="Usuário desistiu","Encerrado",IF($P167&lt;0,"Atrasado",IF($P167=0,"Vence hoje","No prazo")))))</f>
        <v/>
      </c>
      <c r="S167" s="7" t="b">
        <v>0</v>
      </c>
      <c r="T167" s="6" t="n"/>
      <c r="U167" s="12">
        <f>IF(COUNTIF(Checklist!$A$2:$A$3000,$A167)=0,"",COUNTIFS(Checklist!$A$2:$A$3000,$A167,Checklist!$C$2:$C$3000,TRUE)/COUNTIF(Checklist!$A$2:$A$3000,$A167))</f>
        <v/>
      </c>
      <c r="V167" s="6" t="n"/>
      <c r="Y167" s="7" t="b">
        <v>0</v>
      </c>
      <c r="Z167" s="6" t="n"/>
    </row>
    <row r="168">
      <c r="C168" s="6" t="n"/>
      <c r="E168" s="7" t="n"/>
      <c r="J168" s="8">
        <f>IF($I168="","",IFERROR(VLOOKUP($I168,Listas!$A$2:$B$100,2,FALSE),"—"))</f>
        <v/>
      </c>
      <c r="M168" s="7" t="b">
        <v>0</v>
      </c>
      <c r="N168" s="6" t="n"/>
      <c r="O168" s="9">
        <f>IF($N168="","",WORKDAY($N168,5,Listas!$O$2:$O$200))</f>
        <v/>
      </c>
      <c r="P168" s="10">
        <f>IF($O168="","",IF($O168&gt;=TODAY(),NETWORKDAYS(TODAY(),$O168,Listas!$O$2:$O$200)-1,NETWORKDAYS(TODAY(),$O168,Listas!$O$2:$O$200)+1))</f>
        <v/>
      </c>
      <c r="Q168" s="11">
        <f>IF($O168="","",IF($R168="Finalizado","Concluído",IF($R168="Usuário desistiu","Encerrado",IF($P168&lt;0,"Atrasado",IF($P168=0,"Vence hoje","No prazo")))))</f>
        <v/>
      </c>
      <c r="S168" s="7" t="b">
        <v>0</v>
      </c>
      <c r="T168" s="6" t="n"/>
      <c r="U168" s="12">
        <f>IF(COUNTIF(Checklist!$A$2:$A$3000,$A168)=0,"",COUNTIFS(Checklist!$A$2:$A$3000,$A168,Checklist!$C$2:$C$3000,TRUE)/COUNTIF(Checklist!$A$2:$A$3000,$A168))</f>
        <v/>
      </c>
      <c r="V168" s="6" t="n"/>
      <c r="Y168" s="7" t="b">
        <v>0</v>
      </c>
      <c r="Z168" s="6" t="n"/>
    </row>
    <row r="169">
      <c r="C169" s="6" t="n"/>
      <c r="E169" s="7" t="n"/>
      <c r="J169" s="8">
        <f>IF($I169="","",IFERROR(VLOOKUP($I169,Listas!$A$2:$B$100,2,FALSE),"—"))</f>
        <v/>
      </c>
      <c r="M169" s="7" t="b">
        <v>0</v>
      </c>
      <c r="N169" s="6" t="n"/>
      <c r="O169" s="9">
        <f>IF($N169="","",WORKDAY($N169,5,Listas!$O$2:$O$200))</f>
        <v/>
      </c>
      <c r="P169" s="10">
        <f>IF($O169="","",IF($O169&gt;=TODAY(),NETWORKDAYS(TODAY(),$O169,Listas!$O$2:$O$200)-1,NETWORKDAYS(TODAY(),$O169,Listas!$O$2:$O$200)+1))</f>
        <v/>
      </c>
      <c r="Q169" s="11">
        <f>IF($O169="","",IF($R169="Finalizado","Concluído",IF($R169="Usuário desistiu","Encerrado",IF($P169&lt;0,"Atrasado",IF($P169=0,"Vence hoje","No prazo")))))</f>
        <v/>
      </c>
      <c r="S169" s="7" t="b">
        <v>0</v>
      </c>
      <c r="T169" s="6" t="n"/>
      <c r="U169" s="12">
        <f>IF(COUNTIF(Checklist!$A$2:$A$3000,$A169)=0,"",COUNTIFS(Checklist!$A$2:$A$3000,$A169,Checklist!$C$2:$C$3000,TRUE)/COUNTIF(Checklist!$A$2:$A$3000,$A169))</f>
        <v/>
      </c>
      <c r="V169" s="6" t="n"/>
      <c r="Y169" s="7" t="b">
        <v>0</v>
      </c>
      <c r="Z169" s="6" t="n"/>
    </row>
    <row r="170">
      <c r="C170" s="6" t="n"/>
      <c r="E170" s="7" t="n"/>
      <c r="J170" s="8">
        <f>IF($I170="","",IFERROR(VLOOKUP($I170,Listas!$A$2:$B$100,2,FALSE),"—"))</f>
        <v/>
      </c>
      <c r="M170" s="7" t="b">
        <v>0</v>
      </c>
      <c r="N170" s="6" t="n"/>
      <c r="O170" s="9">
        <f>IF($N170="","",WORKDAY($N170,5,Listas!$O$2:$O$200))</f>
        <v/>
      </c>
      <c r="P170" s="10">
        <f>IF($O170="","",IF($O170&gt;=TODAY(),NETWORKDAYS(TODAY(),$O170,Listas!$O$2:$O$200)-1,NETWORKDAYS(TODAY(),$O170,Listas!$O$2:$O$200)+1))</f>
        <v/>
      </c>
      <c r="Q170" s="11">
        <f>IF($O170="","",IF($R170="Finalizado","Concluído",IF($R170="Usuário desistiu","Encerrado",IF($P170&lt;0,"Atrasado",IF($P170=0,"Vence hoje","No prazo")))))</f>
        <v/>
      </c>
      <c r="S170" s="7" t="b">
        <v>0</v>
      </c>
      <c r="T170" s="6" t="n"/>
      <c r="U170" s="12">
        <f>IF(COUNTIF(Checklist!$A$2:$A$3000,$A170)=0,"",COUNTIFS(Checklist!$A$2:$A$3000,$A170,Checklist!$C$2:$C$3000,TRUE)/COUNTIF(Checklist!$A$2:$A$3000,$A170))</f>
        <v/>
      </c>
      <c r="V170" s="6" t="n"/>
      <c r="Y170" s="7" t="b">
        <v>0</v>
      </c>
      <c r="Z170" s="6" t="n"/>
    </row>
    <row r="171">
      <c r="C171" s="6" t="n"/>
      <c r="E171" s="7" t="n"/>
      <c r="J171" s="8">
        <f>IF($I171="","",IFERROR(VLOOKUP($I171,Listas!$A$2:$B$100,2,FALSE),"—"))</f>
        <v/>
      </c>
      <c r="M171" s="7" t="b">
        <v>0</v>
      </c>
      <c r="N171" s="6" t="n"/>
      <c r="O171" s="9">
        <f>IF($N171="","",WORKDAY($N171,5,Listas!$O$2:$O$200))</f>
        <v/>
      </c>
      <c r="P171" s="10">
        <f>IF($O171="","",IF($O171&gt;=TODAY(),NETWORKDAYS(TODAY(),$O171,Listas!$O$2:$O$200)-1,NETWORKDAYS(TODAY(),$O171,Listas!$O$2:$O$200)+1))</f>
        <v/>
      </c>
      <c r="Q171" s="11">
        <f>IF($O171="","",IF($R171="Finalizado","Concluído",IF($R171="Usuário desistiu","Encerrado",IF($P171&lt;0,"Atrasado",IF($P171=0,"Vence hoje","No prazo")))))</f>
        <v/>
      </c>
      <c r="S171" s="7" t="b">
        <v>0</v>
      </c>
      <c r="T171" s="6" t="n"/>
      <c r="U171" s="12">
        <f>IF(COUNTIF(Checklist!$A$2:$A$3000,$A171)=0,"",COUNTIFS(Checklist!$A$2:$A$3000,$A171,Checklist!$C$2:$C$3000,TRUE)/COUNTIF(Checklist!$A$2:$A$3000,$A171))</f>
        <v/>
      </c>
      <c r="V171" s="6" t="n"/>
      <c r="Y171" s="7" t="b">
        <v>0</v>
      </c>
      <c r="Z171" s="6" t="n"/>
    </row>
    <row r="172">
      <c r="C172" s="6" t="n"/>
      <c r="E172" s="7" t="n"/>
      <c r="J172" s="8">
        <f>IF($I172="","",IFERROR(VLOOKUP($I172,Listas!$A$2:$B$100,2,FALSE),"—"))</f>
        <v/>
      </c>
      <c r="M172" s="7" t="b">
        <v>0</v>
      </c>
      <c r="N172" s="6" t="n"/>
      <c r="O172" s="9">
        <f>IF($N172="","",WORKDAY($N172,5,Listas!$O$2:$O$200))</f>
        <v/>
      </c>
      <c r="P172" s="10">
        <f>IF($O172="","",IF($O172&gt;=TODAY(),NETWORKDAYS(TODAY(),$O172,Listas!$O$2:$O$200)-1,NETWORKDAYS(TODAY(),$O172,Listas!$O$2:$O$200)+1))</f>
        <v/>
      </c>
      <c r="Q172" s="11">
        <f>IF($O172="","",IF($R172="Finalizado","Concluído",IF($R172="Usuário desistiu","Encerrado",IF($P172&lt;0,"Atrasado",IF($P172=0,"Vence hoje","No prazo")))))</f>
        <v/>
      </c>
      <c r="S172" s="7" t="b">
        <v>0</v>
      </c>
      <c r="T172" s="6" t="n"/>
      <c r="U172" s="12">
        <f>IF(COUNTIF(Checklist!$A$2:$A$3000,$A172)=0,"",COUNTIFS(Checklist!$A$2:$A$3000,$A172,Checklist!$C$2:$C$3000,TRUE)/COUNTIF(Checklist!$A$2:$A$3000,$A172))</f>
        <v/>
      </c>
      <c r="V172" s="6" t="n"/>
      <c r="Y172" s="7" t="b">
        <v>0</v>
      </c>
      <c r="Z172" s="6" t="n"/>
    </row>
    <row r="173">
      <c r="C173" s="6" t="n"/>
      <c r="E173" s="7" t="n"/>
      <c r="J173" s="8">
        <f>IF($I173="","",IFERROR(VLOOKUP($I173,Listas!$A$2:$B$100,2,FALSE),"—"))</f>
        <v/>
      </c>
      <c r="M173" s="7" t="b">
        <v>0</v>
      </c>
      <c r="N173" s="6" t="n"/>
      <c r="O173" s="9">
        <f>IF($N173="","",WORKDAY($N173,5,Listas!$O$2:$O$200))</f>
        <v/>
      </c>
      <c r="P173" s="10">
        <f>IF($O173="","",IF($O173&gt;=TODAY(),NETWORKDAYS(TODAY(),$O173,Listas!$O$2:$O$200)-1,NETWORKDAYS(TODAY(),$O173,Listas!$O$2:$O$200)+1))</f>
        <v/>
      </c>
      <c r="Q173" s="11">
        <f>IF($O173="","",IF($R173="Finalizado","Concluído",IF($R173="Usuário desistiu","Encerrado",IF($P173&lt;0,"Atrasado",IF($P173=0,"Vence hoje","No prazo")))))</f>
        <v/>
      </c>
      <c r="S173" s="7" t="b">
        <v>0</v>
      </c>
      <c r="T173" s="6" t="n"/>
      <c r="U173" s="12">
        <f>IF(COUNTIF(Checklist!$A$2:$A$3000,$A173)=0,"",COUNTIFS(Checklist!$A$2:$A$3000,$A173,Checklist!$C$2:$C$3000,TRUE)/COUNTIF(Checklist!$A$2:$A$3000,$A173))</f>
        <v/>
      </c>
      <c r="V173" s="6" t="n"/>
      <c r="Y173" s="7" t="b">
        <v>0</v>
      </c>
      <c r="Z173" s="6" t="n"/>
    </row>
    <row r="174">
      <c r="C174" s="6" t="n"/>
      <c r="E174" s="7" t="n"/>
      <c r="J174" s="8">
        <f>IF($I174="","",IFERROR(VLOOKUP($I174,Listas!$A$2:$B$100,2,FALSE),"—"))</f>
        <v/>
      </c>
      <c r="M174" s="7" t="b">
        <v>0</v>
      </c>
      <c r="N174" s="6" t="n"/>
      <c r="O174" s="9">
        <f>IF($N174="","",WORKDAY($N174,5,Listas!$O$2:$O$200))</f>
        <v/>
      </c>
      <c r="P174" s="10">
        <f>IF($O174="","",IF($O174&gt;=TODAY(),NETWORKDAYS(TODAY(),$O174,Listas!$O$2:$O$200)-1,NETWORKDAYS(TODAY(),$O174,Listas!$O$2:$O$200)+1))</f>
        <v/>
      </c>
      <c r="Q174" s="11">
        <f>IF($O174="","",IF($R174="Finalizado","Concluído",IF($R174="Usuário desistiu","Encerrado",IF($P174&lt;0,"Atrasado",IF($P174=0,"Vence hoje","No prazo")))))</f>
        <v/>
      </c>
      <c r="S174" s="7" t="b">
        <v>0</v>
      </c>
      <c r="T174" s="6" t="n"/>
      <c r="U174" s="12">
        <f>IF(COUNTIF(Checklist!$A$2:$A$3000,$A174)=0,"",COUNTIFS(Checklist!$A$2:$A$3000,$A174,Checklist!$C$2:$C$3000,TRUE)/COUNTIF(Checklist!$A$2:$A$3000,$A174))</f>
        <v/>
      </c>
      <c r="V174" s="6" t="n"/>
      <c r="Y174" s="7" t="b">
        <v>0</v>
      </c>
      <c r="Z174" s="6" t="n"/>
    </row>
    <row r="175">
      <c r="C175" s="6" t="n"/>
      <c r="E175" s="7" t="n"/>
      <c r="J175" s="8">
        <f>IF($I175="","",IFERROR(VLOOKUP($I175,Listas!$A$2:$B$100,2,FALSE),"—"))</f>
        <v/>
      </c>
      <c r="M175" s="7" t="b">
        <v>0</v>
      </c>
      <c r="N175" s="6" t="n"/>
      <c r="O175" s="9">
        <f>IF($N175="","",WORKDAY($N175,5,Listas!$O$2:$O$200))</f>
        <v/>
      </c>
      <c r="P175" s="10">
        <f>IF($O175="","",IF($O175&gt;=TODAY(),NETWORKDAYS(TODAY(),$O175,Listas!$O$2:$O$200)-1,NETWORKDAYS(TODAY(),$O175,Listas!$O$2:$O$200)+1))</f>
        <v/>
      </c>
      <c r="Q175" s="11">
        <f>IF($O175="","",IF($R175="Finalizado","Concluído",IF($R175="Usuário desistiu","Encerrado",IF($P175&lt;0,"Atrasado",IF($P175=0,"Vence hoje","No prazo")))))</f>
        <v/>
      </c>
      <c r="S175" s="7" t="b">
        <v>0</v>
      </c>
      <c r="T175" s="6" t="n"/>
      <c r="U175" s="12">
        <f>IF(COUNTIF(Checklist!$A$2:$A$3000,$A175)=0,"",COUNTIFS(Checklist!$A$2:$A$3000,$A175,Checklist!$C$2:$C$3000,TRUE)/COUNTIF(Checklist!$A$2:$A$3000,$A175))</f>
        <v/>
      </c>
      <c r="V175" s="6" t="n"/>
      <c r="Y175" s="7" t="b">
        <v>0</v>
      </c>
      <c r="Z175" s="6" t="n"/>
    </row>
    <row r="176">
      <c r="C176" s="6" t="n"/>
      <c r="E176" s="7" t="n"/>
      <c r="J176" s="8">
        <f>IF($I176="","",IFERROR(VLOOKUP($I176,Listas!$A$2:$B$100,2,FALSE),"—"))</f>
        <v/>
      </c>
      <c r="M176" s="7" t="b">
        <v>0</v>
      </c>
      <c r="N176" s="6" t="n"/>
      <c r="O176" s="9">
        <f>IF($N176="","",WORKDAY($N176,5,Listas!$O$2:$O$200))</f>
        <v/>
      </c>
      <c r="P176" s="10">
        <f>IF($O176="","",IF($O176&gt;=TODAY(),NETWORKDAYS(TODAY(),$O176,Listas!$O$2:$O$200)-1,NETWORKDAYS(TODAY(),$O176,Listas!$O$2:$O$200)+1))</f>
        <v/>
      </c>
      <c r="Q176" s="11">
        <f>IF($O176="","",IF($R176="Finalizado","Concluído",IF($R176="Usuário desistiu","Encerrado",IF($P176&lt;0,"Atrasado",IF($P176=0,"Vence hoje","No prazo")))))</f>
        <v/>
      </c>
      <c r="S176" s="7" t="b">
        <v>0</v>
      </c>
      <c r="T176" s="6" t="n"/>
      <c r="U176" s="12">
        <f>IF(COUNTIF(Checklist!$A$2:$A$3000,$A176)=0,"",COUNTIFS(Checklist!$A$2:$A$3000,$A176,Checklist!$C$2:$C$3000,TRUE)/COUNTIF(Checklist!$A$2:$A$3000,$A176))</f>
        <v/>
      </c>
      <c r="V176" s="6" t="n"/>
      <c r="Y176" s="7" t="b">
        <v>0</v>
      </c>
      <c r="Z176" s="6" t="n"/>
    </row>
    <row r="177">
      <c r="C177" s="6" t="n"/>
      <c r="E177" s="7" t="n"/>
      <c r="J177" s="8">
        <f>IF($I177="","",IFERROR(VLOOKUP($I177,Listas!$A$2:$B$100,2,FALSE),"—"))</f>
        <v/>
      </c>
      <c r="M177" s="7" t="b">
        <v>0</v>
      </c>
      <c r="N177" s="6" t="n"/>
      <c r="O177" s="9">
        <f>IF($N177="","",WORKDAY($N177,5,Listas!$O$2:$O$200))</f>
        <v/>
      </c>
      <c r="P177" s="10">
        <f>IF($O177="","",IF($O177&gt;=TODAY(),NETWORKDAYS(TODAY(),$O177,Listas!$O$2:$O$200)-1,NETWORKDAYS(TODAY(),$O177,Listas!$O$2:$O$200)+1))</f>
        <v/>
      </c>
      <c r="Q177" s="11">
        <f>IF($O177="","",IF($R177="Finalizado","Concluído",IF($R177="Usuário desistiu","Encerrado",IF($P177&lt;0,"Atrasado",IF($P177=0,"Vence hoje","No prazo")))))</f>
        <v/>
      </c>
      <c r="S177" s="7" t="b">
        <v>0</v>
      </c>
      <c r="T177" s="6" t="n"/>
      <c r="U177" s="12">
        <f>IF(COUNTIF(Checklist!$A$2:$A$3000,$A177)=0,"",COUNTIFS(Checklist!$A$2:$A$3000,$A177,Checklist!$C$2:$C$3000,TRUE)/COUNTIF(Checklist!$A$2:$A$3000,$A177))</f>
        <v/>
      </c>
      <c r="V177" s="6" t="n"/>
      <c r="Y177" s="7" t="b">
        <v>0</v>
      </c>
      <c r="Z177" s="6" t="n"/>
    </row>
    <row r="178">
      <c r="C178" s="6" t="n"/>
      <c r="E178" s="7" t="n"/>
      <c r="J178" s="8">
        <f>IF($I178="","",IFERROR(VLOOKUP($I178,Listas!$A$2:$B$100,2,FALSE),"—"))</f>
        <v/>
      </c>
      <c r="M178" s="7" t="b">
        <v>0</v>
      </c>
      <c r="N178" s="6" t="n"/>
      <c r="O178" s="9">
        <f>IF($N178="","",WORKDAY($N178,5,Listas!$O$2:$O$200))</f>
        <v/>
      </c>
      <c r="P178" s="10">
        <f>IF($O178="","",IF($O178&gt;=TODAY(),NETWORKDAYS(TODAY(),$O178,Listas!$O$2:$O$200)-1,NETWORKDAYS(TODAY(),$O178,Listas!$O$2:$O$200)+1))</f>
        <v/>
      </c>
      <c r="Q178" s="11">
        <f>IF($O178="","",IF($R178="Finalizado","Concluído",IF($R178="Usuário desistiu","Encerrado",IF($P178&lt;0,"Atrasado",IF($P178=0,"Vence hoje","No prazo")))))</f>
        <v/>
      </c>
      <c r="S178" s="7" t="b">
        <v>0</v>
      </c>
      <c r="T178" s="6" t="n"/>
      <c r="U178" s="12">
        <f>IF(COUNTIF(Checklist!$A$2:$A$3000,$A178)=0,"",COUNTIFS(Checklist!$A$2:$A$3000,$A178,Checklist!$C$2:$C$3000,TRUE)/COUNTIF(Checklist!$A$2:$A$3000,$A178))</f>
        <v/>
      </c>
      <c r="V178" s="6" t="n"/>
      <c r="Y178" s="7" t="b">
        <v>0</v>
      </c>
      <c r="Z178" s="6" t="n"/>
    </row>
    <row r="179">
      <c r="C179" s="6" t="n"/>
      <c r="E179" s="7" t="n"/>
      <c r="J179" s="8">
        <f>IF($I179="","",IFERROR(VLOOKUP($I179,Listas!$A$2:$B$100,2,FALSE),"—"))</f>
        <v/>
      </c>
      <c r="M179" s="7" t="b">
        <v>0</v>
      </c>
      <c r="N179" s="6" t="n"/>
      <c r="O179" s="9">
        <f>IF($N179="","",WORKDAY($N179,5,Listas!$O$2:$O$200))</f>
        <v/>
      </c>
      <c r="P179" s="10">
        <f>IF($O179="","",IF($O179&gt;=TODAY(),NETWORKDAYS(TODAY(),$O179,Listas!$O$2:$O$200)-1,NETWORKDAYS(TODAY(),$O179,Listas!$O$2:$O$200)+1))</f>
        <v/>
      </c>
      <c r="Q179" s="11">
        <f>IF($O179="","",IF($R179="Finalizado","Concluído",IF($R179="Usuário desistiu","Encerrado",IF($P179&lt;0,"Atrasado",IF($P179=0,"Vence hoje","No prazo")))))</f>
        <v/>
      </c>
      <c r="S179" s="7" t="b">
        <v>0</v>
      </c>
      <c r="T179" s="6" t="n"/>
      <c r="U179" s="12">
        <f>IF(COUNTIF(Checklist!$A$2:$A$3000,$A179)=0,"",COUNTIFS(Checklist!$A$2:$A$3000,$A179,Checklist!$C$2:$C$3000,TRUE)/COUNTIF(Checklist!$A$2:$A$3000,$A179))</f>
        <v/>
      </c>
      <c r="V179" s="6" t="n"/>
      <c r="Y179" s="7" t="b">
        <v>0</v>
      </c>
      <c r="Z179" s="6" t="n"/>
    </row>
    <row r="180">
      <c r="C180" s="6" t="n"/>
      <c r="E180" s="7" t="n"/>
      <c r="J180" s="8">
        <f>IF($I180="","",IFERROR(VLOOKUP($I180,Listas!$A$2:$B$100,2,FALSE),"—"))</f>
        <v/>
      </c>
      <c r="M180" s="7" t="b">
        <v>0</v>
      </c>
      <c r="N180" s="6" t="n"/>
      <c r="O180" s="9">
        <f>IF($N180="","",WORKDAY($N180,5,Listas!$O$2:$O$200))</f>
        <v/>
      </c>
      <c r="P180" s="10">
        <f>IF($O180="","",IF($O180&gt;=TODAY(),NETWORKDAYS(TODAY(),$O180,Listas!$O$2:$O$200)-1,NETWORKDAYS(TODAY(),$O180,Listas!$O$2:$O$200)+1))</f>
        <v/>
      </c>
      <c r="Q180" s="11">
        <f>IF($O180="","",IF($R180="Finalizado","Concluído",IF($R180="Usuário desistiu","Encerrado",IF($P180&lt;0,"Atrasado",IF($P180=0,"Vence hoje","No prazo")))))</f>
        <v/>
      </c>
      <c r="S180" s="7" t="b">
        <v>0</v>
      </c>
      <c r="T180" s="6" t="n"/>
      <c r="U180" s="12">
        <f>IF(COUNTIF(Checklist!$A$2:$A$3000,$A180)=0,"",COUNTIFS(Checklist!$A$2:$A$3000,$A180,Checklist!$C$2:$C$3000,TRUE)/COUNTIF(Checklist!$A$2:$A$3000,$A180))</f>
        <v/>
      </c>
      <c r="V180" s="6" t="n"/>
      <c r="Y180" s="7" t="b">
        <v>0</v>
      </c>
      <c r="Z180" s="6" t="n"/>
    </row>
    <row r="181">
      <c r="C181" s="6" t="n"/>
      <c r="E181" s="7" t="n"/>
      <c r="J181" s="8">
        <f>IF($I181="","",IFERROR(VLOOKUP($I181,Listas!$A$2:$B$100,2,FALSE),"—"))</f>
        <v/>
      </c>
      <c r="M181" s="7" t="b">
        <v>0</v>
      </c>
      <c r="N181" s="6" t="n"/>
      <c r="O181" s="9">
        <f>IF($N181="","",WORKDAY($N181,5,Listas!$O$2:$O$200))</f>
        <v/>
      </c>
      <c r="P181" s="10">
        <f>IF($O181="","",IF($O181&gt;=TODAY(),NETWORKDAYS(TODAY(),$O181,Listas!$O$2:$O$200)-1,NETWORKDAYS(TODAY(),$O181,Listas!$O$2:$O$200)+1))</f>
        <v/>
      </c>
      <c r="Q181" s="11">
        <f>IF($O181="","",IF($R181="Finalizado","Concluído",IF($R181="Usuário desistiu","Encerrado",IF($P181&lt;0,"Atrasado",IF($P181=0,"Vence hoje","No prazo")))))</f>
        <v/>
      </c>
      <c r="S181" s="7" t="b">
        <v>0</v>
      </c>
      <c r="T181" s="6" t="n"/>
      <c r="U181" s="12">
        <f>IF(COUNTIF(Checklist!$A$2:$A$3000,$A181)=0,"",COUNTIFS(Checklist!$A$2:$A$3000,$A181,Checklist!$C$2:$C$3000,TRUE)/COUNTIF(Checklist!$A$2:$A$3000,$A181))</f>
        <v/>
      </c>
      <c r="V181" s="6" t="n"/>
      <c r="Y181" s="7" t="b">
        <v>0</v>
      </c>
      <c r="Z181" s="6" t="n"/>
    </row>
    <row r="182">
      <c r="C182" s="6" t="n"/>
      <c r="E182" s="7" t="n"/>
      <c r="J182" s="8">
        <f>IF($I182="","",IFERROR(VLOOKUP($I182,Listas!$A$2:$B$100,2,FALSE),"—"))</f>
        <v/>
      </c>
      <c r="M182" s="7" t="b">
        <v>0</v>
      </c>
      <c r="N182" s="6" t="n"/>
      <c r="O182" s="9">
        <f>IF($N182="","",WORKDAY($N182,5,Listas!$O$2:$O$200))</f>
        <v/>
      </c>
      <c r="P182" s="10">
        <f>IF($O182="","",IF($O182&gt;=TODAY(),NETWORKDAYS(TODAY(),$O182,Listas!$O$2:$O$200)-1,NETWORKDAYS(TODAY(),$O182,Listas!$O$2:$O$200)+1))</f>
        <v/>
      </c>
      <c r="Q182" s="11">
        <f>IF($O182="","",IF($R182="Finalizado","Concluído",IF($R182="Usuário desistiu","Encerrado",IF($P182&lt;0,"Atrasado",IF($P182=0,"Vence hoje","No prazo")))))</f>
        <v/>
      </c>
      <c r="S182" s="7" t="b">
        <v>0</v>
      </c>
      <c r="T182" s="6" t="n"/>
      <c r="U182" s="12">
        <f>IF(COUNTIF(Checklist!$A$2:$A$3000,$A182)=0,"",COUNTIFS(Checklist!$A$2:$A$3000,$A182,Checklist!$C$2:$C$3000,TRUE)/COUNTIF(Checklist!$A$2:$A$3000,$A182))</f>
        <v/>
      </c>
      <c r="V182" s="6" t="n"/>
      <c r="Y182" s="7" t="b">
        <v>0</v>
      </c>
      <c r="Z182" s="6" t="n"/>
    </row>
    <row r="183">
      <c r="C183" s="6" t="n"/>
      <c r="E183" s="7" t="n"/>
      <c r="J183" s="8">
        <f>IF($I183="","",IFERROR(VLOOKUP($I183,Listas!$A$2:$B$100,2,FALSE),"—"))</f>
        <v/>
      </c>
      <c r="M183" s="7" t="b">
        <v>0</v>
      </c>
      <c r="N183" s="6" t="n"/>
      <c r="O183" s="9">
        <f>IF($N183="","",WORKDAY($N183,5,Listas!$O$2:$O$200))</f>
        <v/>
      </c>
      <c r="P183" s="10">
        <f>IF($O183="","",IF($O183&gt;=TODAY(),NETWORKDAYS(TODAY(),$O183,Listas!$O$2:$O$200)-1,NETWORKDAYS(TODAY(),$O183,Listas!$O$2:$O$200)+1))</f>
        <v/>
      </c>
      <c r="Q183" s="11">
        <f>IF($O183="","",IF($R183="Finalizado","Concluído",IF($R183="Usuário desistiu","Encerrado",IF($P183&lt;0,"Atrasado",IF($P183=0,"Vence hoje","No prazo")))))</f>
        <v/>
      </c>
      <c r="S183" s="7" t="b">
        <v>0</v>
      </c>
      <c r="T183" s="6" t="n"/>
      <c r="U183" s="12">
        <f>IF(COUNTIF(Checklist!$A$2:$A$3000,$A183)=0,"",COUNTIFS(Checklist!$A$2:$A$3000,$A183,Checklist!$C$2:$C$3000,TRUE)/COUNTIF(Checklist!$A$2:$A$3000,$A183))</f>
        <v/>
      </c>
      <c r="V183" s="6" t="n"/>
      <c r="Y183" s="7" t="b">
        <v>0</v>
      </c>
      <c r="Z183" s="6" t="n"/>
    </row>
    <row r="184">
      <c r="C184" s="6" t="n"/>
      <c r="E184" s="7" t="n"/>
      <c r="J184" s="8">
        <f>IF($I184="","",IFERROR(VLOOKUP($I184,Listas!$A$2:$B$100,2,FALSE),"—"))</f>
        <v/>
      </c>
      <c r="M184" s="7" t="b">
        <v>0</v>
      </c>
      <c r="N184" s="6" t="n"/>
      <c r="O184" s="9">
        <f>IF($N184="","",WORKDAY($N184,5,Listas!$O$2:$O$200))</f>
        <v/>
      </c>
      <c r="P184" s="10">
        <f>IF($O184="","",IF($O184&gt;=TODAY(),NETWORKDAYS(TODAY(),$O184,Listas!$O$2:$O$200)-1,NETWORKDAYS(TODAY(),$O184,Listas!$O$2:$O$200)+1))</f>
        <v/>
      </c>
      <c r="Q184" s="11">
        <f>IF($O184="","",IF($R184="Finalizado","Concluído",IF($R184="Usuário desistiu","Encerrado",IF($P184&lt;0,"Atrasado",IF($P184=0,"Vence hoje","No prazo")))))</f>
        <v/>
      </c>
      <c r="S184" s="7" t="b">
        <v>0</v>
      </c>
      <c r="T184" s="6" t="n"/>
      <c r="U184" s="12">
        <f>IF(COUNTIF(Checklist!$A$2:$A$3000,$A184)=0,"",COUNTIFS(Checklist!$A$2:$A$3000,$A184,Checklist!$C$2:$C$3000,TRUE)/COUNTIF(Checklist!$A$2:$A$3000,$A184))</f>
        <v/>
      </c>
      <c r="V184" s="6" t="n"/>
      <c r="Y184" s="7" t="b">
        <v>0</v>
      </c>
      <c r="Z184" s="6" t="n"/>
    </row>
    <row r="185">
      <c r="C185" s="6" t="n"/>
      <c r="E185" s="7" t="n"/>
      <c r="J185" s="8">
        <f>IF($I185="","",IFERROR(VLOOKUP($I185,Listas!$A$2:$B$100,2,FALSE),"—"))</f>
        <v/>
      </c>
      <c r="M185" s="7" t="b">
        <v>0</v>
      </c>
      <c r="N185" s="6" t="n"/>
      <c r="O185" s="9">
        <f>IF($N185="","",WORKDAY($N185,5,Listas!$O$2:$O$200))</f>
        <v/>
      </c>
      <c r="P185" s="10">
        <f>IF($O185="","",IF($O185&gt;=TODAY(),NETWORKDAYS(TODAY(),$O185,Listas!$O$2:$O$200)-1,NETWORKDAYS(TODAY(),$O185,Listas!$O$2:$O$200)+1))</f>
        <v/>
      </c>
      <c r="Q185" s="11">
        <f>IF($O185="","",IF($R185="Finalizado","Concluído",IF($R185="Usuário desistiu","Encerrado",IF($P185&lt;0,"Atrasado",IF($P185=0,"Vence hoje","No prazo")))))</f>
        <v/>
      </c>
      <c r="S185" s="7" t="b">
        <v>0</v>
      </c>
      <c r="T185" s="6" t="n"/>
      <c r="U185" s="12">
        <f>IF(COUNTIF(Checklist!$A$2:$A$3000,$A185)=0,"",COUNTIFS(Checklist!$A$2:$A$3000,$A185,Checklist!$C$2:$C$3000,TRUE)/COUNTIF(Checklist!$A$2:$A$3000,$A185))</f>
        <v/>
      </c>
      <c r="V185" s="6" t="n"/>
      <c r="Y185" s="7" t="b">
        <v>0</v>
      </c>
      <c r="Z185" s="6" t="n"/>
    </row>
    <row r="186">
      <c r="C186" s="6" t="n"/>
      <c r="E186" s="7" t="n"/>
      <c r="J186" s="8">
        <f>IF($I186="","",IFERROR(VLOOKUP($I186,Listas!$A$2:$B$100,2,FALSE),"—"))</f>
        <v/>
      </c>
      <c r="M186" s="7" t="b">
        <v>0</v>
      </c>
      <c r="N186" s="6" t="n"/>
      <c r="O186" s="9">
        <f>IF($N186="","",WORKDAY($N186,5,Listas!$O$2:$O$200))</f>
        <v/>
      </c>
      <c r="P186" s="10">
        <f>IF($O186="","",IF($O186&gt;=TODAY(),NETWORKDAYS(TODAY(),$O186,Listas!$O$2:$O$200)-1,NETWORKDAYS(TODAY(),$O186,Listas!$O$2:$O$200)+1))</f>
        <v/>
      </c>
      <c r="Q186" s="11">
        <f>IF($O186="","",IF($R186="Finalizado","Concluído",IF($R186="Usuário desistiu","Encerrado",IF($P186&lt;0,"Atrasado",IF($P186=0,"Vence hoje","No prazo")))))</f>
        <v/>
      </c>
      <c r="S186" s="7" t="b">
        <v>0</v>
      </c>
      <c r="T186" s="6" t="n"/>
      <c r="U186" s="12">
        <f>IF(COUNTIF(Checklist!$A$2:$A$3000,$A186)=0,"",COUNTIFS(Checklist!$A$2:$A$3000,$A186,Checklist!$C$2:$C$3000,TRUE)/COUNTIF(Checklist!$A$2:$A$3000,$A186))</f>
        <v/>
      </c>
      <c r="V186" s="6" t="n"/>
      <c r="Y186" s="7" t="b">
        <v>0</v>
      </c>
      <c r="Z186" s="6" t="n"/>
    </row>
    <row r="187">
      <c r="C187" s="6" t="n"/>
      <c r="E187" s="7" t="n"/>
      <c r="J187" s="8">
        <f>IF($I187="","",IFERROR(VLOOKUP($I187,Listas!$A$2:$B$100,2,FALSE),"—"))</f>
        <v/>
      </c>
      <c r="M187" s="7" t="b">
        <v>0</v>
      </c>
      <c r="N187" s="6" t="n"/>
      <c r="O187" s="9">
        <f>IF($N187="","",WORKDAY($N187,5,Listas!$O$2:$O$200))</f>
        <v/>
      </c>
      <c r="P187" s="10">
        <f>IF($O187="","",IF($O187&gt;=TODAY(),NETWORKDAYS(TODAY(),$O187,Listas!$O$2:$O$200)-1,NETWORKDAYS(TODAY(),$O187,Listas!$O$2:$O$200)+1))</f>
        <v/>
      </c>
      <c r="Q187" s="11">
        <f>IF($O187="","",IF($R187="Finalizado","Concluído",IF($R187="Usuário desistiu","Encerrado",IF($P187&lt;0,"Atrasado",IF($P187=0,"Vence hoje","No prazo")))))</f>
        <v/>
      </c>
      <c r="S187" s="7" t="b">
        <v>0</v>
      </c>
      <c r="T187" s="6" t="n"/>
      <c r="U187" s="12">
        <f>IF(COUNTIF(Checklist!$A$2:$A$3000,$A187)=0,"",COUNTIFS(Checklist!$A$2:$A$3000,$A187,Checklist!$C$2:$C$3000,TRUE)/COUNTIF(Checklist!$A$2:$A$3000,$A187))</f>
        <v/>
      </c>
      <c r="V187" s="6" t="n"/>
      <c r="Y187" s="7" t="b">
        <v>0</v>
      </c>
      <c r="Z187" s="6" t="n"/>
    </row>
    <row r="188">
      <c r="C188" s="6" t="n"/>
      <c r="E188" s="7" t="n"/>
      <c r="J188" s="8">
        <f>IF($I188="","",IFERROR(VLOOKUP($I188,Listas!$A$2:$B$100,2,FALSE),"—"))</f>
        <v/>
      </c>
      <c r="M188" s="7" t="b">
        <v>0</v>
      </c>
      <c r="N188" s="6" t="n"/>
      <c r="O188" s="9">
        <f>IF($N188="","",WORKDAY($N188,5,Listas!$O$2:$O$200))</f>
        <v/>
      </c>
      <c r="P188" s="10">
        <f>IF($O188="","",IF($O188&gt;=TODAY(),NETWORKDAYS(TODAY(),$O188,Listas!$O$2:$O$200)-1,NETWORKDAYS(TODAY(),$O188,Listas!$O$2:$O$200)+1))</f>
        <v/>
      </c>
      <c r="Q188" s="11">
        <f>IF($O188="","",IF($R188="Finalizado","Concluído",IF($R188="Usuário desistiu","Encerrado",IF($P188&lt;0,"Atrasado",IF($P188=0,"Vence hoje","No prazo")))))</f>
        <v/>
      </c>
      <c r="S188" s="7" t="b">
        <v>0</v>
      </c>
      <c r="T188" s="6" t="n"/>
      <c r="U188" s="12">
        <f>IF(COUNTIF(Checklist!$A$2:$A$3000,$A188)=0,"",COUNTIFS(Checklist!$A$2:$A$3000,$A188,Checklist!$C$2:$C$3000,TRUE)/COUNTIF(Checklist!$A$2:$A$3000,$A188))</f>
        <v/>
      </c>
      <c r="V188" s="6" t="n"/>
      <c r="Y188" s="7" t="b">
        <v>0</v>
      </c>
      <c r="Z188" s="6" t="n"/>
    </row>
    <row r="189">
      <c r="C189" s="6" t="n"/>
      <c r="E189" s="7" t="n"/>
      <c r="J189" s="8">
        <f>IF($I189="","",IFERROR(VLOOKUP($I189,Listas!$A$2:$B$100,2,FALSE),"—"))</f>
        <v/>
      </c>
      <c r="M189" s="7" t="b">
        <v>0</v>
      </c>
      <c r="N189" s="6" t="n"/>
      <c r="O189" s="9">
        <f>IF($N189="","",WORKDAY($N189,5,Listas!$O$2:$O$200))</f>
        <v/>
      </c>
      <c r="P189" s="10">
        <f>IF($O189="","",IF($O189&gt;=TODAY(),NETWORKDAYS(TODAY(),$O189,Listas!$O$2:$O$200)-1,NETWORKDAYS(TODAY(),$O189,Listas!$O$2:$O$200)+1))</f>
        <v/>
      </c>
      <c r="Q189" s="11">
        <f>IF($O189="","",IF($R189="Finalizado","Concluído",IF($R189="Usuário desistiu","Encerrado",IF($P189&lt;0,"Atrasado",IF($P189=0,"Vence hoje","No prazo")))))</f>
        <v/>
      </c>
      <c r="S189" s="7" t="b">
        <v>0</v>
      </c>
      <c r="T189" s="6" t="n"/>
      <c r="U189" s="12">
        <f>IF(COUNTIF(Checklist!$A$2:$A$3000,$A189)=0,"",COUNTIFS(Checklist!$A$2:$A$3000,$A189,Checklist!$C$2:$C$3000,TRUE)/COUNTIF(Checklist!$A$2:$A$3000,$A189))</f>
        <v/>
      </c>
      <c r="V189" s="6" t="n"/>
      <c r="Y189" s="7" t="b">
        <v>0</v>
      </c>
      <c r="Z189" s="6" t="n"/>
    </row>
    <row r="190">
      <c r="C190" s="6" t="n"/>
      <c r="E190" s="7" t="n"/>
      <c r="J190" s="8">
        <f>IF($I190="","",IFERROR(VLOOKUP($I190,Listas!$A$2:$B$100,2,FALSE),"—"))</f>
        <v/>
      </c>
      <c r="M190" s="7" t="b">
        <v>0</v>
      </c>
      <c r="N190" s="6" t="n"/>
      <c r="O190" s="9">
        <f>IF($N190="","",WORKDAY($N190,5,Listas!$O$2:$O$200))</f>
        <v/>
      </c>
      <c r="P190" s="10">
        <f>IF($O190="","",IF($O190&gt;=TODAY(),NETWORKDAYS(TODAY(),$O190,Listas!$O$2:$O$200)-1,NETWORKDAYS(TODAY(),$O190,Listas!$O$2:$O$200)+1))</f>
        <v/>
      </c>
      <c r="Q190" s="11">
        <f>IF($O190="","",IF($R190="Finalizado","Concluído",IF($R190="Usuário desistiu","Encerrado",IF($P190&lt;0,"Atrasado",IF($P190=0,"Vence hoje","No prazo")))))</f>
        <v/>
      </c>
      <c r="S190" s="7" t="b">
        <v>0</v>
      </c>
      <c r="T190" s="6" t="n"/>
      <c r="U190" s="12">
        <f>IF(COUNTIF(Checklist!$A$2:$A$3000,$A190)=0,"",COUNTIFS(Checklist!$A$2:$A$3000,$A190,Checklist!$C$2:$C$3000,TRUE)/COUNTIF(Checklist!$A$2:$A$3000,$A190))</f>
        <v/>
      </c>
      <c r="V190" s="6" t="n"/>
      <c r="Y190" s="7" t="b">
        <v>0</v>
      </c>
      <c r="Z190" s="6" t="n"/>
    </row>
    <row r="191">
      <c r="C191" s="6" t="n"/>
      <c r="E191" s="7" t="n"/>
      <c r="J191" s="8">
        <f>IF($I191="","",IFERROR(VLOOKUP($I191,Listas!$A$2:$B$100,2,FALSE),"—"))</f>
        <v/>
      </c>
      <c r="M191" s="7" t="b">
        <v>0</v>
      </c>
      <c r="N191" s="6" t="n"/>
      <c r="O191" s="9">
        <f>IF($N191="","",WORKDAY($N191,5,Listas!$O$2:$O$200))</f>
        <v/>
      </c>
      <c r="P191" s="10">
        <f>IF($O191="","",IF($O191&gt;=TODAY(),NETWORKDAYS(TODAY(),$O191,Listas!$O$2:$O$200)-1,NETWORKDAYS(TODAY(),$O191,Listas!$O$2:$O$200)+1))</f>
        <v/>
      </c>
      <c r="Q191" s="11">
        <f>IF($O191="","",IF($R191="Finalizado","Concluído",IF($R191="Usuário desistiu","Encerrado",IF($P191&lt;0,"Atrasado",IF($P191=0,"Vence hoje","No prazo")))))</f>
        <v/>
      </c>
      <c r="S191" s="7" t="b">
        <v>0</v>
      </c>
      <c r="T191" s="6" t="n"/>
      <c r="U191" s="12">
        <f>IF(COUNTIF(Checklist!$A$2:$A$3000,$A191)=0,"",COUNTIFS(Checklist!$A$2:$A$3000,$A191,Checklist!$C$2:$C$3000,TRUE)/COUNTIF(Checklist!$A$2:$A$3000,$A191))</f>
        <v/>
      </c>
      <c r="V191" s="6" t="n"/>
      <c r="Y191" s="7" t="b">
        <v>0</v>
      </c>
      <c r="Z191" s="6" t="n"/>
    </row>
    <row r="192">
      <c r="C192" s="6" t="n"/>
      <c r="E192" s="7" t="n"/>
      <c r="J192" s="8">
        <f>IF($I192="","",IFERROR(VLOOKUP($I192,Listas!$A$2:$B$100,2,FALSE),"—"))</f>
        <v/>
      </c>
      <c r="M192" s="7" t="b">
        <v>0</v>
      </c>
      <c r="N192" s="6" t="n"/>
      <c r="O192" s="9">
        <f>IF($N192="","",WORKDAY($N192,5,Listas!$O$2:$O$200))</f>
        <v/>
      </c>
      <c r="P192" s="10">
        <f>IF($O192="","",IF($O192&gt;=TODAY(),NETWORKDAYS(TODAY(),$O192,Listas!$O$2:$O$200)-1,NETWORKDAYS(TODAY(),$O192,Listas!$O$2:$O$200)+1))</f>
        <v/>
      </c>
      <c r="Q192" s="11">
        <f>IF($O192="","",IF($R192="Finalizado","Concluído",IF($R192="Usuário desistiu","Encerrado",IF($P192&lt;0,"Atrasado",IF($P192=0,"Vence hoje","No prazo")))))</f>
        <v/>
      </c>
      <c r="S192" s="7" t="b">
        <v>0</v>
      </c>
      <c r="T192" s="6" t="n"/>
      <c r="U192" s="12">
        <f>IF(COUNTIF(Checklist!$A$2:$A$3000,$A192)=0,"",COUNTIFS(Checklist!$A$2:$A$3000,$A192,Checklist!$C$2:$C$3000,TRUE)/COUNTIF(Checklist!$A$2:$A$3000,$A192))</f>
        <v/>
      </c>
      <c r="V192" s="6" t="n"/>
      <c r="Y192" s="7" t="b">
        <v>0</v>
      </c>
      <c r="Z192" s="6" t="n"/>
    </row>
    <row r="193">
      <c r="C193" s="6" t="n"/>
      <c r="E193" s="7" t="n"/>
      <c r="J193" s="8">
        <f>IF($I193="","",IFERROR(VLOOKUP($I193,Listas!$A$2:$B$100,2,FALSE),"—"))</f>
        <v/>
      </c>
      <c r="M193" s="7" t="b">
        <v>0</v>
      </c>
      <c r="N193" s="6" t="n"/>
      <c r="O193" s="9">
        <f>IF($N193="","",WORKDAY($N193,5,Listas!$O$2:$O$200))</f>
        <v/>
      </c>
      <c r="P193" s="10">
        <f>IF($O193="","",IF($O193&gt;=TODAY(),NETWORKDAYS(TODAY(),$O193,Listas!$O$2:$O$200)-1,NETWORKDAYS(TODAY(),$O193,Listas!$O$2:$O$200)+1))</f>
        <v/>
      </c>
      <c r="Q193" s="11">
        <f>IF($O193="","",IF($R193="Finalizado","Concluído",IF($R193="Usuário desistiu","Encerrado",IF($P193&lt;0,"Atrasado",IF($P193=0,"Vence hoje","No prazo")))))</f>
        <v/>
      </c>
      <c r="S193" s="7" t="b">
        <v>0</v>
      </c>
      <c r="T193" s="6" t="n"/>
      <c r="U193" s="12">
        <f>IF(COUNTIF(Checklist!$A$2:$A$3000,$A193)=0,"",COUNTIFS(Checklist!$A$2:$A$3000,$A193,Checklist!$C$2:$C$3000,TRUE)/COUNTIF(Checklist!$A$2:$A$3000,$A193))</f>
        <v/>
      </c>
      <c r="V193" s="6" t="n"/>
      <c r="Y193" s="7" t="b">
        <v>0</v>
      </c>
      <c r="Z193" s="6" t="n"/>
    </row>
    <row r="194">
      <c r="C194" s="6" t="n"/>
      <c r="E194" s="7" t="n"/>
      <c r="J194" s="8">
        <f>IF($I194="","",IFERROR(VLOOKUP($I194,Listas!$A$2:$B$100,2,FALSE),"—"))</f>
        <v/>
      </c>
      <c r="M194" s="7" t="b">
        <v>0</v>
      </c>
      <c r="N194" s="6" t="n"/>
      <c r="O194" s="9">
        <f>IF($N194="","",WORKDAY($N194,5,Listas!$O$2:$O$200))</f>
        <v/>
      </c>
      <c r="P194" s="10">
        <f>IF($O194="","",IF($O194&gt;=TODAY(),NETWORKDAYS(TODAY(),$O194,Listas!$O$2:$O$200)-1,NETWORKDAYS(TODAY(),$O194,Listas!$O$2:$O$200)+1))</f>
        <v/>
      </c>
      <c r="Q194" s="11">
        <f>IF($O194="","",IF($R194="Finalizado","Concluído",IF($R194="Usuário desistiu","Encerrado",IF($P194&lt;0,"Atrasado",IF($P194=0,"Vence hoje","No prazo")))))</f>
        <v/>
      </c>
      <c r="S194" s="7" t="b">
        <v>0</v>
      </c>
      <c r="T194" s="6" t="n"/>
      <c r="U194" s="12">
        <f>IF(COUNTIF(Checklist!$A$2:$A$3000,$A194)=0,"",COUNTIFS(Checklist!$A$2:$A$3000,$A194,Checklist!$C$2:$C$3000,TRUE)/COUNTIF(Checklist!$A$2:$A$3000,$A194))</f>
        <v/>
      </c>
      <c r="V194" s="6" t="n"/>
      <c r="Y194" s="7" t="b">
        <v>0</v>
      </c>
      <c r="Z194" s="6" t="n"/>
    </row>
    <row r="195">
      <c r="C195" s="6" t="n"/>
      <c r="E195" s="7" t="n"/>
      <c r="J195" s="8">
        <f>IF($I195="","",IFERROR(VLOOKUP($I195,Listas!$A$2:$B$100,2,FALSE),"—"))</f>
        <v/>
      </c>
      <c r="M195" s="7" t="b">
        <v>0</v>
      </c>
      <c r="N195" s="6" t="n"/>
      <c r="O195" s="9">
        <f>IF($N195="","",WORKDAY($N195,5,Listas!$O$2:$O$200))</f>
        <v/>
      </c>
      <c r="P195" s="10">
        <f>IF($O195="","",IF($O195&gt;=TODAY(),NETWORKDAYS(TODAY(),$O195,Listas!$O$2:$O$200)-1,NETWORKDAYS(TODAY(),$O195,Listas!$O$2:$O$200)+1))</f>
        <v/>
      </c>
      <c r="Q195" s="11">
        <f>IF($O195="","",IF($R195="Finalizado","Concluído",IF($R195="Usuário desistiu","Encerrado",IF($P195&lt;0,"Atrasado",IF($P195=0,"Vence hoje","No prazo")))))</f>
        <v/>
      </c>
      <c r="S195" s="7" t="b">
        <v>0</v>
      </c>
      <c r="T195" s="6" t="n"/>
      <c r="U195" s="12">
        <f>IF(COUNTIF(Checklist!$A$2:$A$3000,$A195)=0,"",COUNTIFS(Checklist!$A$2:$A$3000,$A195,Checklist!$C$2:$C$3000,TRUE)/COUNTIF(Checklist!$A$2:$A$3000,$A195))</f>
        <v/>
      </c>
      <c r="V195" s="6" t="n"/>
      <c r="Y195" s="7" t="b">
        <v>0</v>
      </c>
      <c r="Z195" s="6" t="n"/>
    </row>
    <row r="196">
      <c r="C196" s="6" t="n"/>
      <c r="E196" s="7" t="n"/>
      <c r="J196" s="8">
        <f>IF($I196="","",IFERROR(VLOOKUP($I196,Listas!$A$2:$B$100,2,FALSE),"—"))</f>
        <v/>
      </c>
      <c r="M196" s="7" t="b">
        <v>0</v>
      </c>
      <c r="N196" s="6" t="n"/>
      <c r="O196" s="9">
        <f>IF($N196="","",WORKDAY($N196,5,Listas!$O$2:$O$200))</f>
        <v/>
      </c>
      <c r="P196" s="10">
        <f>IF($O196="","",IF($O196&gt;=TODAY(),NETWORKDAYS(TODAY(),$O196,Listas!$O$2:$O$200)-1,NETWORKDAYS(TODAY(),$O196,Listas!$O$2:$O$200)+1))</f>
        <v/>
      </c>
      <c r="Q196" s="11">
        <f>IF($O196="","",IF($R196="Finalizado","Concluído",IF($R196="Usuário desistiu","Encerrado",IF($P196&lt;0,"Atrasado",IF($P196=0,"Vence hoje","No prazo")))))</f>
        <v/>
      </c>
      <c r="S196" s="7" t="b">
        <v>0</v>
      </c>
      <c r="T196" s="6" t="n"/>
      <c r="U196" s="12">
        <f>IF(COUNTIF(Checklist!$A$2:$A$3000,$A196)=0,"",COUNTIFS(Checklist!$A$2:$A$3000,$A196,Checklist!$C$2:$C$3000,TRUE)/COUNTIF(Checklist!$A$2:$A$3000,$A196))</f>
        <v/>
      </c>
      <c r="V196" s="6" t="n"/>
      <c r="Y196" s="7" t="b">
        <v>0</v>
      </c>
      <c r="Z196" s="6" t="n"/>
    </row>
    <row r="197">
      <c r="C197" s="6" t="n"/>
      <c r="E197" s="7" t="n"/>
      <c r="J197" s="8">
        <f>IF($I197="","",IFERROR(VLOOKUP($I197,Listas!$A$2:$B$100,2,FALSE),"—"))</f>
        <v/>
      </c>
      <c r="M197" s="7" t="b">
        <v>0</v>
      </c>
      <c r="N197" s="6" t="n"/>
      <c r="O197" s="9">
        <f>IF($N197="","",WORKDAY($N197,5,Listas!$O$2:$O$200))</f>
        <v/>
      </c>
      <c r="P197" s="10">
        <f>IF($O197="","",IF($O197&gt;=TODAY(),NETWORKDAYS(TODAY(),$O197,Listas!$O$2:$O$200)-1,NETWORKDAYS(TODAY(),$O197,Listas!$O$2:$O$200)+1))</f>
        <v/>
      </c>
      <c r="Q197" s="11">
        <f>IF($O197="","",IF($R197="Finalizado","Concluído",IF($R197="Usuário desistiu","Encerrado",IF($P197&lt;0,"Atrasado",IF($P197=0,"Vence hoje","No prazo")))))</f>
        <v/>
      </c>
      <c r="S197" s="7" t="b">
        <v>0</v>
      </c>
      <c r="T197" s="6" t="n"/>
      <c r="U197" s="12">
        <f>IF(COUNTIF(Checklist!$A$2:$A$3000,$A197)=0,"",COUNTIFS(Checklist!$A$2:$A$3000,$A197,Checklist!$C$2:$C$3000,TRUE)/COUNTIF(Checklist!$A$2:$A$3000,$A197))</f>
        <v/>
      </c>
      <c r="V197" s="6" t="n"/>
      <c r="Y197" s="7" t="b">
        <v>0</v>
      </c>
      <c r="Z197" s="6" t="n"/>
    </row>
    <row r="198">
      <c r="C198" s="6" t="n"/>
      <c r="E198" s="7" t="n"/>
      <c r="J198" s="8">
        <f>IF($I198="","",IFERROR(VLOOKUP($I198,Listas!$A$2:$B$100,2,FALSE),"—"))</f>
        <v/>
      </c>
      <c r="M198" s="7" t="b">
        <v>0</v>
      </c>
      <c r="N198" s="6" t="n"/>
      <c r="O198" s="9">
        <f>IF($N198="","",WORKDAY($N198,5,Listas!$O$2:$O$200))</f>
        <v/>
      </c>
      <c r="P198" s="10">
        <f>IF($O198="","",IF($O198&gt;=TODAY(),NETWORKDAYS(TODAY(),$O198,Listas!$O$2:$O$200)-1,NETWORKDAYS(TODAY(),$O198,Listas!$O$2:$O$200)+1))</f>
        <v/>
      </c>
      <c r="Q198" s="11">
        <f>IF($O198="","",IF($R198="Finalizado","Concluído",IF($R198="Usuário desistiu","Encerrado",IF($P198&lt;0,"Atrasado",IF($P198=0,"Vence hoje","No prazo")))))</f>
        <v/>
      </c>
      <c r="S198" s="7" t="b">
        <v>0</v>
      </c>
      <c r="T198" s="6" t="n"/>
      <c r="U198" s="12">
        <f>IF(COUNTIF(Checklist!$A$2:$A$3000,$A198)=0,"",COUNTIFS(Checklist!$A$2:$A$3000,$A198,Checklist!$C$2:$C$3000,TRUE)/COUNTIF(Checklist!$A$2:$A$3000,$A198))</f>
        <v/>
      </c>
      <c r="V198" s="6" t="n"/>
      <c r="Y198" s="7" t="b">
        <v>0</v>
      </c>
      <c r="Z198" s="6" t="n"/>
    </row>
    <row r="199">
      <c r="C199" s="6" t="n"/>
      <c r="E199" s="7" t="n"/>
      <c r="J199" s="8">
        <f>IF($I199="","",IFERROR(VLOOKUP($I199,Listas!$A$2:$B$100,2,FALSE),"—"))</f>
        <v/>
      </c>
      <c r="M199" s="7" t="b">
        <v>0</v>
      </c>
      <c r="N199" s="6" t="n"/>
      <c r="O199" s="9">
        <f>IF($N199="","",WORKDAY($N199,5,Listas!$O$2:$O$200))</f>
        <v/>
      </c>
      <c r="P199" s="10">
        <f>IF($O199="","",IF($O199&gt;=TODAY(),NETWORKDAYS(TODAY(),$O199,Listas!$O$2:$O$200)-1,NETWORKDAYS(TODAY(),$O199,Listas!$O$2:$O$200)+1))</f>
        <v/>
      </c>
      <c r="Q199" s="11">
        <f>IF($O199="","",IF($R199="Finalizado","Concluído",IF($R199="Usuário desistiu","Encerrado",IF($P199&lt;0,"Atrasado",IF($P199=0,"Vence hoje","No prazo")))))</f>
        <v/>
      </c>
      <c r="S199" s="7" t="b">
        <v>0</v>
      </c>
      <c r="T199" s="6" t="n"/>
      <c r="U199" s="12">
        <f>IF(COUNTIF(Checklist!$A$2:$A$3000,$A199)=0,"",COUNTIFS(Checklist!$A$2:$A$3000,$A199,Checklist!$C$2:$C$3000,TRUE)/COUNTIF(Checklist!$A$2:$A$3000,$A199))</f>
        <v/>
      </c>
      <c r="V199" s="6" t="n"/>
      <c r="Y199" s="7" t="b">
        <v>0</v>
      </c>
      <c r="Z199" s="6" t="n"/>
    </row>
    <row r="200">
      <c r="C200" s="6" t="n"/>
      <c r="E200" s="7" t="n"/>
      <c r="J200" s="8">
        <f>IF($I200="","",IFERROR(VLOOKUP($I200,Listas!$A$2:$B$100,2,FALSE),"—"))</f>
        <v/>
      </c>
      <c r="M200" s="7" t="b">
        <v>0</v>
      </c>
      <c r="N200" s="6" t="n"/>
      <c r="O200" s="9">
        <f>IF($N200="","",WORKDAY($N200,5,Listas!$O$2:$O$200))</f>
        <v/>
      </c>
      <c r="P200" s="10">
        <f>IF($O200="","",IF($O200&gt;=TODAY(),NETWORKDAYS(TODAY(),$O200,Listas!$O$2:$O$200)-1,NETWORKDAYS(TODAY(),$O200,Listas!$O$2:$O$200)+1))</f>
        <v/>
      </c>
      <c r="Q200" s="11">
        <f>IF($O200="","",IF($R200="Finalizado","Concluído",IF($R200="Usuário desistiu","Encerrado",IF($P200&lt;0,"Atrasado",IF($P200=0,"Vence hoje","No prazo")))))</f>
        <v/>
      </c>
      <c r="S200" s="7" t="b">
        <v>0</v>
      </c>
      <c r="T200" s="6" t="n"/>
      <c r="U200" s="12">
        <f>IF(COUNTIF(Checklist!$A$2:$A$3000,$A200)=0,"",COUNTIFS(Checklist!$A$2:$A$3000,$A200,Checklist!$C$2:$C$3000,TRUE)/COUNTIF(Checklist!$A$2:$A$3000,$A200))</f>
        <v/>
      </c>
      <c r="V200" s="6" t="n"/>
      <c r="Y200" s="7" t="b">
        <v>0</v>
      </c>
      <c r="Z200" s="6" t="n"/>
    </row>
    <row r="201">
      <c r="C201" s="6" t="n"/>
      <c r="E201" s="7" t="n"/>
      <c r="J201" s="8">
        <f>IF($I201="","",IFERROR(VLOOKUP($I201,Listas!$A$2:$B$100,2,FALSE),"—"))</f>
        <v/>
      </c>
      <c r="M201" s="7" t="b">
        <v>0</v>
      </c>
      <c r="N201" s="6" t="n"/>
      <c r="O201" s="9">
        <f>IF($N201="","",WORKDAY($N201,5,Listas!$O$2:$O$200))</f>
        <v/>
      </c>
      <c r="P201" s="10">
        <f>IF($O201="","",IF($O201&gt;=TODAY(),NETWORKDAYS(TODAY(),$O201,Listas!$O$2:$O$200)-1,NETWORKDAYS(TODAY(),$O201,Listas!$O$2:$O$200)+1))</f>
        <v/>
      </c>
      <c r="Q201" s="11">
        <f>IF($O201="","",IF($R201="Finalizado","Concluído",IF($R201="Usuário desistiu","Encerrado",IF($P201&lt;0,"Atrasado",IF($P201=0,"Vence hoje","No prazo")))))</f>
        <v/>
      </c>
      <c r="S201" s="7" t="b">
        <v>0</v>
      </c>
      <c r="T201" s="6" t="n"/>
      <c r="U201" s="12">
        <f>IF(COUNTIF(Checklist!$A$2:$A$3000,$A201)=0,"",COUNTIFS(Checklist!$A$2:$A$3000,$A201,Checklist!$C$2:$C$3000,TRUE)/COUNTIF(Checklist!$A$2:$A$3000,$A201))</f>
        <v/>
      </c>
      <c r="V201" s="6" t="n"/>
      <c r="Y201" s="7" t="b">
        <v>0</v>
      </c>
      <c r="Z201" s="6" t="n"/>
    </row>
    <row r="202">
      <c r="C202" s="6" t="n"/>
      <c r="E202" s="7" t="n"/>
      <c r="J202" s="8">
        <f>IF($I202="","",IFERROR(VLOOKUP($I202,Listas!$A$2:$B$100,2,FALSE),"—"))</f>
        <v/>
      </c>
      <c r="M202" s="7" t="b">
        <v>0</v>
      </c>
      <c r="N202" s="6" t="n"/>
      <c r="O202" s="9">
        <f>IF($N202="","",WORKDAY($N202,5,Listas!$O$2:$O$200))</f>
        <v/>
      </c>
      <c r="P202" s="10">
        <f>IF($O202="","",IF($O202&gt;=TODAY(),NETWORKDAYS(TODAY(),$O202,Listas!$O$2:$O$200)-1,NETWORKDAYS(TODAY(),$O202,Listas!$O$2:$O$200)+1))</f>
        <v/>
      </c>
      <c r="Q202" s="11">
        <f>IF($O202="","",IF($R202="Finalizado","Concluído",IF($R202="Usuário desistiu","Encerrado",IF($P202&lt;0,"Atrasado",IF($P202=0,"Vence hoje","No prazo")))))</f>
        <v/>
      </c>
      <c r="S202" s="7" t="b">
        <v>0</v>
      </c>
      <c r="T202" s="6" t="n"/>
      <c r="U202" s="12">
        <f>IF(COUNTIF(Checklist!$A$2:$A$3000,$A202)=0,"",COUNTIFS(Checklist!$A$2:$A$3000,$A202,Checklist!$C$2:$C$3000,TRUE)/COUNTIF(Checklist!$A$2:$A$3000,$A202))</f>
        <v/>
      </c>
      <c r="V202" s="6" t="n"/>
      <c r="Y202" s="7" t="b">
        <v>0</v>
      </c>
      <c r="Z202" s="6" t="n"/>
    </row>
    <row r="203">
      <c r="C203" s="6" t="n"/>
      <c r="E203" s="7" t="n"/>
      <c r="J203" s="8">
        <f>IF($I203="","",IFERROR(VLOOKUP($I203,Listas!$A$2:$B$100,2,FALSE),"—"))</f>
        <v/>
      </c>
      <c r="M203" s="7" t="b">
        <v>0</v>
      </c>
      <c r="N203" s="6" t="n"/>
      <c r="O203" s="9">
        <f>IF($N203="","",WORKDAY($N203,5,Listas!$O$2:$O$200))</f>
        <v/>
      </c>
      <c r="P203" s="10">
        <f>IF($O203="","",IF($O203&gt;=TODAY(),NETWORKDAYS(TODAY(),$O203,Listas!$O$2:$O$200)-1,NETWORKDAYS(TODAY(),$O203,Listas!$O$2:$O$200)+1))</f>
        <v/>
      </c>
      <c r="Q203" s="11">
        <f>IF($O203="","",IF($R203="Finalizado","Concluído",IF($R203="Usuário desistiu","Encerrado",IF($P203&lt;0,"Atrasado",IF($P203=0,"Vence hoje","No prazo")))))</f>
        <v/>
      </c>
      <c r="S203" s="7" t="b">
        <v>0</v>
      </c>
      <c r="T203" s="6" t="n"/>
      <c r="U203" s="12">
        <f>IF(COUNTIF(Checklist!$A$2:$A$3000,$A203)=0,"",COUNTIFS(Checklist!$A$2:$A$3000,$A203,Checklist!$C$2:$C$3000,TRUE)/COUNTIF(Checklist!$A$2:$A$3000,$A203))</f>
        <v/>
      </c>
      <c r="V203" s="6" t="n"/>
      <c r="Y203" s="7" t="b">
        <v>0</v>
      </c>
      <c r="Z203" s="6" t="n"/>
    </row>
    <row r="204">
      <c r="C204" s="6" t="n"/>
      <c r="E204" s="7" t="n"/>
      <c r="J204" s="8">
        <f>IF($I204="","",IFERROR(VLOOKUP($I204,Listas!$A$2:$B$100,2,FALSE),"—"))</f>
        <v/>
      </c>
      <c r="M204" s="7" t="b">
        <v>0</v>
      </c>
      <c r="N204" s="6" t="n"/>
      <c r="O204" s="9">
        <f>IF($N204="","",WORKDAY($N204,5,Listas!$O$2:$O$200))</f>
        <v/>
      </c>
      <c r="P204" s="10">
        <f>IF($O204="","",IF($O204&gt;=TODAY(),NETWORKDAYS(TODAY(),$O204,Listas!$O$2:$O$200)-1,NETWORKDAYS(TODAY(),$O204,Listas!$O$2:$O$200)+1))</f>
        <v/>
      </c>
      <c r="Q204" s="11">
        <f>IF($O204="","",IF($R204="Finalizado","Concluído",IF($R204="Usuário desistiu","Encerrado",IF($P204&lt;0,"Atrasado",IF($P204=0,"Vence hoje","No prazo")))))</f>
        <v/>
      </c>
      <c r="S204" s="7" t="b">
        <v>0</v>
      </c>
      <c r="T204" s="6" t="n"/>
      <c r="U204" s="12">
        <f>IF(COUNTIF(Checklist!$A$2:$A$3000,$A204)=0,"",COUNTIFS(Checklist!$A$2:$A$3000,$A204,Checklist!$C$2:$C$3000,TRUE)/COUNTIF(Checklist!$A$2:$A$3000,$A204))</f>
        <v/>
      </c>
      <c r="V204" s="6" t="n"/>
      <c r="Y204" s="7" t="b">
        <v>0</v>
      </c>
      <c r="Z204" s="6" t="n"/>
    </row>
    <row r="205">
      <c r="C205" s="6" t="n"/>
      <c r="E205" s="7" t="n"/>
      <c r="J205" s="8">
        <f>IF($I205="","",IFERROR(VLOOKUP($I205,Listas!$A$2:$B$100,2,FALSE),"—"))</f>
        <v/>
      </c>
      <c r="M205" s="7" t="b">
        <v>0</v>
      </c>
      <c r="N205" s="6" t="n"/>
      <c r="O205" s="9">
        <f>IF($N205="","",WORKDAY($N205,5,Listas!$O$2:$O$200))</f>
        <v/>
      </c>
      <c r="P205" s="10">
        <f>IF($O205="","",IF($O205&gt;=TODAY(),NETWORKDAYS(TODAY(),$O205,Listas!$O$2:$O$200)-1,NETWORKDAYS(TODAY(),$O205,Listas!$O$2:$O$200)+1))</f>
        <v/>
      </c>
      <c r="Q205" s="11">
        <f>IF($O205="","",IF($R205="Finalizado","Concluído",IF($R205="Usuário desistiu","Encerrado",IF($P205&lt;0,"Atrasado",IF($P205=0,"Vence hoje","No prazo")))))</f>
        <v/>
      </c>
      <c r="S205" s="7" t="b">
        <v>0</v>
      </c>
      <c r="T205" s="6" t="n"/>
      <c r="U205" s="12">
        <f>IF(COUNTIF(Checklist!$A$2:$A$3000,$A205)=0,"",COUNTIFS(Checklist!$A$2:$A$3000,$A205,Checklist!$C$2:$C$3000,TRUE)/COUNTIF(Checklist!$A$2:$A$3000,$A205))</f>
        <v/>
      </c>
      <c r="V205" s="6" t="n"/>
      <c r="Y205" s="7" t="b">
        <v>0</v>
      </c>
      <c r="Z205" s="6" t="n"/>
    </row>
    <row r="206">
      <c r="C206" s="6" t="n"/>
      <c r="E206" s="7" t="n"/>
      <c r="J206" s="8">
        <f>IF($I206="","",IFERROR(VLOOKUP($I206,Listas!$A$2:$B$100,2,FALSE),"—"))</f>
        <v/>
      </c>
      <c r="M206" s="7" t="b">
        <v>0</v>
      </c>
      <c r="N206" s="6" t="n"/>
      <c r="O206" s="9">
        <f>IF($N206="","",WORKDAY($N206,5,Listas!$O$2:$O$200))</f>
        <v/>
      </c>
      <c r="P206" s="10">
        <f>IF($O206="","",IF($O206&gt;=TODAY(),NETWORKDAYS(TODAY(),$O206,Listas!$O$2:$O$200)-1,NETWORKDAYS(TODAY(),$O206,Listas!$O$2:$O$200)+1))</f>
        <v/>
      </c>
      <c r="Q206" s="11">
        <f>IF($O206="","",IF($R206="Finalizado","Concluído",IF($R206="Usuário desistiu","Encerrado",IF($P206&lt;0,"Atrasado",IF($P206=0,"Vence hoje","No prazo")))))</f>
        <v/>
      </c>
      <c r="S206" s="7" t="b">
        <v>0</v>
      </c>
      <c r="T206" s="6" t="n"/>
      <c r="U206" s="12">
        <f>IF(COUNTIF(Checklist!$A$2:$A$3000,$A206)=0,"",COUNTIFS(Checklist!$A$2:$A$3000,$A206,Checklist!$C$2:$C$3000,TRUE)/COUNTIF(Checklist!$A$2:$A$3000,$A206))</f>
        <v/>
      </c>
      <c r="V206" s="6" t="n"/>
      <c r="Y206" s="7" t="b">
        <v>0</v>
      </c>
      <c r="Z206" s="6" t="n"/>
    </row>
    <row r="207">
      <c r="C207" s="6" t="n"/>
      <c r="E207" s="7" t="n"/>
      <c r="J207" s="8">
        <f>IF($I207="","",IFERROR(VLOOKUP($I207,Listas!$A$2:$B$100,2,FALSE),"—"))</f>
        <v/>
      </c>
      <c r="M207" s="7" t="b">
        <v>0</v>
      </c>
      <c r="N207" s="6" t="n"/>
      <c r="O207" s="9">
        <f>IF($N207="","",WORKDAY($N207,5,Listas!$O$2:$O$200))</f>
        <v/>
      </c>
      <c r="P207" s="10">
        <f>IF($O207="","",IF($O207&gt;=TODAY(),NETWORKDAYS(TODAY(),$O207,Listas!$O$2:$O$200)-1,NETWORKDAYS(TODAY(),$O207,Listas!$O$2:$O$200)+1))</f>
        <v/>
      </c>
      <c r="Q207" s="11">
        <f>IF($O207="","",IF($R207="Finalizado","Concluído",IF($R207="Usuário desistiu","Encerrado",IF($P207&lt;0,"Atrasado",IF($P207=0,"Vence hoje","No prazo")))))</f>
        <v/>
      </c>
      <c r="S207" s="7" t="b">
        <v>0</v>
      </c>
      <c r="T207" s="6" t="n"/>
      <c r="U207" s="12">
        <f>IF(COUNTIF(Checklist!$A$2:$A$3000,$A207)=0,"",COUNTIFS(Checklist!$A$2:$A$3000,$A207,Checklist!$C$2:$C$3000,TRUE)/COUNTIF(Checklist!$A$2:$A$3000,$A207))</f>
        <v/>
      </c>
      <c r="V207" s="6" t="n"/>
      <c r="Y207" s="7" t="b">
        <v>0</v>
      </c>
      <c r="Z207" s="6" t="n"/>
    </row>
    <row r="208">
      <c r="C208" s="6" t="n"/>
      <c r="E208" s="7" t="n"/>
      <c r="J208" s="8">
        <f>IF($I208="","",IFERROR(VLOOKUP($I208,Listas!$A$2:$B$100,2,FALSE),"—"))</f>
        <v/>
      </c>
      <c r="M208" s="7" t="b">
        <v>0</v>
      </c>
      <c r="N208" s="6" t="n"/>
      <c r="O208" s="9">
        <f>IF($N208="","",WORKDAY($N208,5,Listas!$O$2:$O$200))</f>
        <v/>
      </c>
      <c r="P208" s="10">
        <f>IF($O208="","",IF($O208&gt;=TODAY(),NETWORKDAYS(TODAY(),$O208,Listas!$O$2:$O$200)-1,NETWORKDAYS(TODAY(),$O208,Listas!$O$2:$O$200)+1))</f>
        <v/>
      </c>
      <c r="Q208" s="11">
        <f>IF($O208="","",IF($R208="Finalizado","Concluído",IF($R208="Usuário desistiu","Encerrado",IF($P208&lt;0,"Atrasado",IF($P208=0,"Vence hoje","No prazo")))))</f>
        <v/>
      </c>
      <c r="S208" s="7" t="b">
        <v>0</v>
      </c>
      <c r="T208" s="6" t="n"/>
      <c r="U208" s="12">
        <f>IF(COUNTIF(Checklist!$A$2:$A$3000,$A208)=0,"",COUNTIFS(Checklist!$A$2:$A$3000,$A208,Checklist!$C$2:$C$3000,TRUE)/COUNTIF(Checklist!$A$2:$A$3000,$A208))</f>
        <v/>
      </c>
      <c r="V208" s="6" t="n"/>
      <c r="Y208" s="7" t="b">
        <v>0</v>
      </c>
      <c r="Z208" s="6" t="n"/>
    </row>
    <row r="209">
      <c r="C209" s="6" t="n"/>
      <c r="E209" s="7" t="n"/>
      <c r="J209" s="8">
        <f>IF($I209="","",IFERROR(VLOOKUP($I209,Listas!$A$2:$B$100,2,FALSE),"—"))</f>
        <v/>
      </c>
      <c r="M209" s="7" t="b">
        <v>0</v>
      </c>
      <c r="N209" s="6" t="n"/>
      <c r="O209" s="9">
        <f>IF($N209="","",WORKDAY($N209,5,Listas!$O$2:$O$200))</f>
        <v/>
      </c>
      <c r="P209" s="10">
        <f>IF($O209="","",IF($O209&gt;=TODAY(),NETWORKDAYS(TODAY(),$O209,Listas!$O$2:$O$200)-1,NETWORKDAYS(TODAY(),$O209,Listas!$O$2:$O$200)+1))</f>
        <v/>
      </c>
      <c r="Q209" s="11">
        <f>IF($O209="","",IF($R209="Finalizado","Concluído",IF($R209="Usuário desistiu","Encerrado",IF($P209&lt;0,"Atrasado",IF($P209=0,"Vence hoje","No prazo")))))</f>
        <v/>
      </c>
      <c r="S209" s="7" t="b">
        <v>0</v>
      </c>
      <c r="T209" s="6" t="n"/>
      <c r="U209" s="12">
        <f>IF(COUNTIF(Checklist!$A$2:$A$3000,$A209)=0,"",COUNTIFS(Checklist!$A$2:$A$3000,$A209,Checklist!$C$2:$C$3000,TRUE)/COUNTIF(Checklist!$A$2:$A$3000,$A209))</f>
        <v/>
      </c>
      <c r="V209" s="6" t="n"/>
      <c r="Y209" s="7" t="b">
        <v>0</v>
      </c>
      <c r="Z209" s="6" t="n"/>
    </row>
    <row r="210">
      <c r="C210" s="6" t="n"/>
      <c r="E210" s="7" t="n"/>
      <c r="J210" s="8">
        <f>IF($I210="","",IFERROR(VLOOKUP($I210,Listas!$A$2:$B$100,2,FALSE),"—"))</f>
        <v/>
      </c>
      <c r="M210" s="7" t="b">
        <v>0</v>
      </c>
      <c r="N210" s="6" t="n"/>
      <c r="O210" s="9">
        <f>IF($N210="","",WORKDAY($N210,5,Listas!$O$2:$O$200))</f>
        <v/>
      </c>
      <c r="P210" s="10">
        <f>IF($O210="","",IF($O210&gt;=TODAY(),NETWORKDAYS(TODAY(),$O210,Listas!$O$2:$O$200)-1,NETWORKDAYS(TODAY(),$O210,Listas!$O$2:$O$200)+1))</f>
        <v/>
      </c>
      <c r="Q210" s="11">
        <f>IF($O210="","",IF($R210="Finalizado","Concluído",IF($R210="Usuário desistiu","Encerrado",IF($P210&lt;0,"Atrasado",IF($P210=0,"Vence hoje","No prazo")))))</f>
        <v/>
      </c>
      <c r="S210" s="7" t="b">
        <v>0</v>
      </c>
      <c r="T210" s="6" t="n"/>
      <c r="U210" s="12">
        <f>IF(COUNTIF(Checklist!$A$2:$A$3000,$A210)=0,"",COUNTIFS(Checklist!$A$2:$A$3000,$A210,Checklist!$C$2:$C$3000,TRUE)/COUNTIF(Checklist!$A$2:$A$3000,$A210))</f>
        <v/>
      </c>
      <c r="V210" s="6" t="n"/>
      <c r="Y210" s="7" t="b">
        <v>0</v>
      </c>
      <c r="Z210" s="6" t="n"/>
    </row>
    <row r="211">
      <c r="C211" s="6" t="n"/>
      <c r="E211" s="7" t="n"/>
      <c r="J211" s="8">
        <f>IF($I211="","",IFERROR(VLOOKUP($I211,Listas!$A$2:$B$100,2,FALSE),"—"))</f>
        <v/>
      </c>
      <c r="M211" s="7" t="b">
        <v>0</v>
      </c>
      <c r="N211" s="6" t="n"/>
      <c r="O211" s="9">
        <f>IF($N211="","",WORKDAY($N211,5,Listas!$O$2:$O$200))</f>
        <v/>
      </c>
      <c r="P211" s="10">
        <f>IF($O211="","",IF($O211&gt;=TODAY(),NETWORKDAYS(TODAY(),$O211,Listas!$O$2:$O$200)-1,NETWORKDAYS(TODAY(),$O211,Listas!$O$2:$O$200)+1))</f>
        <v/>
      </c>
      <c r="Q211" s="11">
        <f>IF($O211="","",IF($R211="Finalizado","Concluído",IF($R211="Usuário desistiu","Encerrado",IF($P211&lt;0,"Atrasado",IF($P211=0,"Vence hoje","No prazo")))))</f>
        <v/>
      </c>
      <c r="S211" s="7" t="b">
        <v>0</v>
      </c>
      <c r="T211" s="6" t="n"/>
      <c r="U211" s="12">
        <f>IF(COUNTIF(Checklist!$A$2:$A$3000,$A211)=0,"",COUNTIFS(Checklist!$A$2:$A$3000,$A211,Checklist!$C$2:$C$3000,TRUE)/COUNTIF(Checklist!$A$2:$A$3000,$A211))</f>
        <v/>
      </c>
      <c r="V211" s="6" t="n"/>
      <c r="Y211" s="7" t="b">
        <v>0</v>
      </c>
      <c r="Z211" s="6" t="n"/>
    </row>
    <row r="212">
      <c r="C212" s="6" t="n"/>
      <c r="E212" s="7" t="n"/>
      <c r="J212" s="8">
        <f>IF($I212="","",IFERROR(VLOOKUP($I212,Listas!$A$2:$B$100,2,FALSE),"—"))</f>
        <v/>
      </c>
      <c r="M212" s="7" t="b">
        <v>0</v>
      </c>
      <c r="N212" s="6" t="n"/>
      <c r="O212" s="9">
        <f>IF($N212="","",WORKDAY($N212,5,Listas!$O$2:$O$200))</f>
        <v/>
      </c>
      <c r="P212" s="10">
        <f>IF($O212="","",IF($O212&gt;=TODAY(),NETWORKDAYS(TODAY(),$O212,Listas!$O$2:$O$200)-1,NETWORKDAYS(TODAY(),$O212,Listas!$O$2:$O$200)+1))</f>
        <v/>
      </c>
      <c r="Q212" s="11">
        <f>IF($O212="","",IF($R212="Finalizado","Concluído",IF($R212="Usuário desistiu","Encerrado",IF($P212&lt;0,"Atrasado",IF($P212=0,"Vence hoje","No prazo")))))</f>
        <v/>
      </c>
      <c r="S212" s="7" t="b">
        <v>0</v>
      </c>
      <c r="T212" s="6" t="n"/>
      <c r="U212" s="12">
        <f>IF(COUNTIF(Checklist!$A$2:$A$3000,$A212)=0,"",COUNTIFS(Checklist!$A$2:$A$3000,$A212,Checklist!$C$2:$C$3000,TRUE)/COUNTIF(Checklist!$A$2:$A$3000,$A212))</f>
        <v/>
      </c>
      <c r="V212" s="6" t="n"/>
      <c r="Y212" s="7" t="b">
        <v>0</v>
      </c>
      <c r="Z212" s="6" t="n"/>
    </row>
    <row r="213">
      <c r="C213" s="6" t="n"/>
      <c r="E213" s="7" t="n"/>
      <c r="J213" s="8">
        <f>IF($I213="","",IFERROR(VLOOKUP($I213,Listas!$A$2:$B$100,2,FALSE),"—"))</f>
        <v/>
      </c>
      <c r="M213" s="7" t="b">
        <v>0</v>
      </c>
      <c r="N213" s="6" t="n"/>
      <c r="O213" s="9">
        <f>IF($N213="","",WORKDAY($N213,5,Listas!$O$2:$O$200))</f>
        <v/>
      </c>
      <c r="P213" s="10">
        <f>IF($O213="","",IF($O213&gt;=TODAY(),NETWORKDAYS(TODAY(),$O213,Listas!$O$2:$O$200)-1,NETWORKDAYS(TODAY(),$O213,Listas!$O$2:$O$200)+1))</f>
        <v/>
      </c>
      <c r="Q213" s="11">
        <f>IF($O213="","",IF($R213="Finalizado","Concluído",IF($R213="Usuário desistiu","Encerrado",IF($P213&lt;0,"Atrasado",IF($P213=0,"Vence hoje","No prazo")))))</f>
        <v/>
      </c>
      <c r="S213" s="7" t="b">
        <v>0</v>
      </c>
      <c r="T213" s="6" t="n"/>
      <c r="U213" s="12">
        <f>IF(COUNTIF(Checklist!$A$2:$A$3000,$A213)=0,"",COUNTIFS(Checklist!$A$2:$A$3000,$A213,Checklist!$C$2:$C$3000,TRUE)/COUNTIF(Checklist!$A$2:$A$3000,$A213))</f>
        <v/>
      </c>
      <c r="V213" s="6" t="n"/>
      <c r="Y213" s="7" t="b">
        <v>0</v>
      </c>
      <c r="Z213" s="6" t="n"/>
    </row>
    <row r="214">
      <c r="C214" s="6" t="n"/>
      <c r="E214" s="7" t="n"/>
      <c r="J214" s="8">
        <f>IF($I214="","",IFERROR(VLOOKUP($I214,Listas!$A$2:$B$100,2,FALSE),"—"))</f>
        <v/>
      </c>
      <c r="M214" s="7" t="b">
        <v>0</v>
      </c>
      <c r="N214" s="6" t="n"/>
      <c r="O214" s="9">
        <f>IF($N214="","",WORKDAY($N214,5,Listas!$O$2:$O$200))</f>
        <v/>
      </c>
      <c r="P214" s="10">
        <f>IF($O214="","",IF($O214&gt;=TODAY(),NETWORKDAYS(TODAY(),$O214,Listas!$O$2:$O$200)-1,NETWORKDAYS(TODAY(),$O214,Listas!$O$2:$O$200)+1))</f>
        <v/>
      </c>
      <c r="Q214" s="11">
        <f>IF($O214="","",IF($R214="Finalizado","Concluído",IF($R214="Usuário desistiu","Encerrado",IF($P214&lt;0,"Atrasado",IF($P214=0,"Vence hoje","No prazo")))))</f>
        <v/>
      </c>
      <c r="S214" s="7" t="b">
        <v>0</v>
      </c>
      <c r="T214" s="6" t="n"/>
      <c r="U214" s="12">
        <f>IF(COUNTIF(Checklist!$A$2:$A$3000,$A214)=0,"",COUNTIFS(Checklist!$A$2:$A$3000,$A214,Checklist!$C$2:$C$3000,TRUE)/COUNTIF(Checklist!$A$2:$A$3000,$A214))</f>
        <v/>
      </c>
      <c r="V214" s="6" t="n"/>
      <c r="Y214" s="7" t="b">
        <v>0</v>
      </c>
      <c r="Z214" s="6" t="n"/>
    </row>
    <row r="215">
      <c r="C215" s="6" t="n"/>
      <c r="E215" s="7" t="n"/>
      <c r="J215" s="8">
        <f>IF($I215="","",IFERROR(VLOOKUP($I215,Listas!$A$2:$B$100,2,FALSE),"—"))</f>
        <v/>
      </c>
      <c r="M215" s="7" t="b">
        <v>0</v>
      </c>
      <c r="N215" s="6" t="n"/>
      <c r="O215" s="9">
        <f>IF($N215="","",WORKDAY($N215,5,Listas!$O$2:$O$200))</f>
        <v/>
      </c>
      <c r="P215" s="10">
        <f>IF($O215="","",IF($O215&gt;=TODAY(),NETWORKDAYS(TODAY(),$O215,Listas!$O$2:$O$200)-1,NETWORKDAYS(TODAY(),$O215,Listas!$O$2:$O$200)+1))</f>
        <v/>
      </c>
      <c r="Q215" s="11">
        <f>IF($O215="","",IF($R215="Finalizado","Concluído",IF($R215="Usuário desistiu","Encerrado",IF($P215&lt;0,"Atrasado",IF($P215=0,"Vence hoje","No prazo")))))</f>
        <v/>
      </c>
      <c r="S215" s="7" t="b">
        <v>0</v>
      </c>
      <c r="T215" s="6" t="n"/>
      <c r="U215" s="12">
        <f>IF(COUNTIF(Checklist!$A$2:$A$3000,$A215)=0,"",COUNTIFS(Checklist!$A$2:$A$3000,$A215,Checklist!$C$2:$C$3000,TRUE)/COUNTIF(Checklist!$A$2:$A$3000,$A215))</f>
        <v/>
      </c>
      <c r="V215" s="6" t="n"/>
      <c r="Y215" s="7" t="b">
        <v>0</v>
      </c>
      <c r="Z215" s="6" t="n"/>
    </row>
    <row r="216">
      <c r="C216" s="6" t="n"/>
      <c r="E216" s="7" t="n"/>
      <c r="J216" s="8">
        <f>IF($I216="","",IFERROR(VLOOKUP($I216,Listas!$A$2:$B$100,2,FALSE),"—"))</f>
        <v/>
      </c>
      <c r="M216" s="7" t="b">
        <v>0</v>
      </c>
      <c r="N216" s="6" t="n"/>
      <c r="O216" s="9">
        <f>IF($N216="","",WORKDAY($N216,5,Listas!$O$2:$O$200))</f>
        <v/>
      </c>
      <c r="P216" s="10">
        <f>IF($O216="","",IF($O216&gt;=TODAY(),NETWORKDAYS(TODAY(),$O216,Listas!$O$2:$O$200)-1,NETWORKDAYS(TODAY(),$O216,Listas!$O$2:$O$200)+1))</f>
        <v/>
      </c>
      <c r="Q216" s="11">
        <f>IF($O216="","",IF($R216="Finalizado","Concluído",IF($R216="Usuário desistiu","Encerrado",IF($P216&lt;0,"Atrasado",IF($P216=0,"Vence hoje","No prazo")))))</f>
        <v/>
      </c>
      <c r="S216" s="7" t="b">
        <v>0</v>
      </c>
      <c r="T216" s="6" t="n"/>
      <c r="U216" s="12">
        <f>IF(COUNTIF(Checklist!$A$2:$A$3000,$A216)=0,"",COUNTIFS(Checklist!$A$2:$A$3000,$A216,Checklist!$C$2:$C$3000,TRUE)/COUNTIF(Checklist!$A$2:$A$3000,$A216))</f>
        <v/>
      </c>
      <c r="V216" s="6" t="n"/>
      <c r="Y216" s="7" t="b">
        <v>0</v>
      </c>
      <c r="Z216" s="6" t="n"/>
    </row>
    <row r="217">
      <c r="C217" s="6" t="n"/>
      <c r="E217" s="7" t="n"/>
      <c r="J217" s="8">
        <f>IF($I217="","",IFERROR(VLOOKUP($I217,Listas!$A$2:$B$100,2,FALSE),"—"))</f>
        <v/>
      </c>
      <c r="M217" s="7" t="b">
        <v>0</v>
      </c>
      <c r="N217" s="6" t="n"/>
      <c r="O217" s="9">
        <f>IF($N217="","",WORKDAY($N217,5,Listas!$O$2:$O$200))</f>
        <v/>
      </c>
      <c r="P217" s="10">
        <f>IF($O217="","",IF($O217&gt;=TODAY(),NETWORKDAYS(TODAY(),$O217,Listas!$O$2:$O$200)-1,NETWORKDAYS(TODAY(),$O217,Listas!$O$2:$O$200)+1))</f>
        <v/>
      </c>
      <c r="Q217" s="11">
        <f>IF($O217="","",IF($R217="Finalizado","Concluído",IF($R217="Usuário desistiu","Encerrado",IF($P217&lt;0,"Atrasado",IF($P217=0,"Vence hoje","No prazo")))))</f>
        <v/>
      </c>
      <c r="S217" s="7" t="b">
        <v>0</v>
      </c>
      <c r="T217" s="6" t="n"/>
      <c r="U217" s="12">
        <f>IF(COUNTIF(Checklist!$A$2:$A$3000,$A217)=0,"",COUNTIFS(Checklist!$A$2:$A$3000,$A217,Checklist!$C$2:$C$3000,TRUE)/COUNTIF(Checklist!$A$2:$A$3000,$A217))</f>
        <v/>
      </c>
      <c r="V217" s="6" t="n"/>
      <c r="Y217" s="7" t="b">
        <v>0</v>
      </c>
      <c r="Z217" s="6" t="n"/>
    </row>
    <row r="218">
      <c r="C218" s="6" t="n"/>
      <c r="E218" s="7" t="n"/>
      <c r="J218" s="8">
        <f>IF($I218="","",IFERROR(VLOOKUP($I218,Listas!$A$2:$B$100,2,FALSE),"—"))</f>
        <v/>
      </c>
      <c r="M218" s="7" t="b">
        <v>0</v>
      </c>
      <c r="N218" s="6" t="n"/>
      <c r="O218" s="9">
        <f>IF($N218="","",WORKDAY($N218,5,Listas!$O$2:$O$200))</f>
        <v/>
      </c>
      <c r="P218" s="10">
        <f>IF($O218="","",IF($O218&gt;=TODAY(),NETWORKDAYS(TODAY(),$O218,Listas!$O$2:$O$200)-1,NETWORKDAYS(TODAY(),$O218,Listas!$O$2:$O$200)+1))</f>
        <v/>
      </c>
      <c r="Q218" s="11">
        <f>IF($O218="","",IF($R218="Finalizado","Concluído",IF($R218="Usuário desistiu","Encerrado",IF($P218&lt;0,"Atrasado",IF($P218=0,"Vence hoje","No prazo")))))</f>
        <v/>
      </c>
      <c r="S218" s="7" t="b">
        <v>0</v>
      </c>
      <c r="T218" s="6" t="n"/>
      <c r="U218" s="12">
        <f>IF(COUNTIF(Checklist!$A$2:$A$3000,$A218)=0,"",COUNTIFS(Checklist!$A$2:$A$3000,$A218,Checklist!$C$2:$C$3000,TRUE)/COUNTIF(Checklist!$A$2:$A$3000,$A218))</f>
        <v/>
      </c>
      <c r="V218" s="6" t="n"/>
      <c r="Y218" s="7" t="b">
        <v>0</v>
      </c>
      <c r="Z218" s="6" t="n"/>
    </row>
    <row r="219">
      <c r="C219" s="6" t="n"/>
      <c r="E219" s="7" t="n"/>
      <c r="J219" s="8">
        <f>IF($I219="","",IFERROR(VLOOKUP($I219,Listas!$A$2:$B$100,2,FALSE),"—"))</f>
        <v/>
      </c>
      <c r="M219" s="7" t="b">
        <v>0</v>
      </c>
      <c r="N219" s="6" t="n"/>
      <c r="O219" s="9">
        <f>IF($N219="","",WORKDAY($N219,5,Listas!$O$2:$O$200))</f>
        <v/>
      </c>
      <c r="P219" s="10">
        <f>IF($O219="","",IF($O219&gt;=TODAY(),NETWORKDAYS(TODAY(),$O219,Listas!$O$2:$O$200)-1,NETWORKDAYS(TODAY(),$O219,Listas!$O$2:$O$200)+1))</f>
        <v/>
      </c>
      <c r="Q219" s="11">
        <f>IF($O219="","",IF($R219="Finalizado","Concluído",IF($R219="Usuário desistiu","Encerrado",IF($P219&lt;0,"Atrasado",IF($P219=0,"Vence hoje","No prazo")))))</f>
        <v/>
      </c>
      <c r="S219" s="7" t="b">
        <v>0</v>
      </c>
      <c r="T219" s="6" t="n"/>
      <c r="U219" s="12">
        <f>IF(COUNTIF(Checklist!$A$2:$A$3000,$A219)=0,"",COUNTIFS(Checklist!$A$2:$A$3000,$A219,Checklist!$C$2:$C$3000,TRUE)/COUNTIF(Checklist!$A$2:$A$3000,$A219))</f>
        <v/>
      </c>
      <c r="V219" s="6" t="n"/>
      <c r="Y219" s="7" t="b">
        <v>0</v>
      </c>
      <c r="Z219" s="6" t="n"/>
    </row>
    <row r="220">
      <c r="C220" s="6" t="n"/>
      <c r="E220" s="7" t="n"/>
      <c r="J220" s="8">
        <f>IF($I220="","",IFERROR(VLOOKUP($I220,Listas!$A$2:$B$100,2,FALSE),"—"))</f>
        <v/>
      </c>
      <c r="M220" s="7" t="b">
        <v>0</v>
      </c>
      <c r="N220" s="6" t="n"/>
      <c r="O220" s="9">
        <f>IF($N220="","",WORKDAY($N220,5,Listas!$O$2:$O$200))</f>
        <v/>
      </c>
      <c r="P220" s="10">
        <f>IF($O220="","",IF($O220&gt;=TODAY(),NETWORKDAYS(TODAY(),$O220,Listas!$O$2:$O$200)-1,NETWORKDAYS(TODAY(),$O220,Listas!$O$2:$O$200)+1))</f>
        <v/>
      </c>
      <c r="Q220" s="11">
        <f>IF($O220="","",IF($R220="Finalizado","Concluído",IF($R220="Usuário desistiu","Encerrado",IF($P220&lt;0,"Atrasado",IF($P220=0,"Vence hoje","No prazo")))))</f>
        <v/>
      </c>
      <c r="S220" s="7" t="b">
        <v>0</v>
      </c>
      <c r="T220" s="6" t="n"/>
      <c r="U220" s="12">
        <f>IF(COUNTIF(Checklist!$A$2:$A$3000,$A220)=0,"",COUNTIFS(Checklist!$A$2:$A$3000,$A220,Checklist!$C$2:$C$3000,TRUE)/COUNTIF(Checklist!$A$2:$A$3000,$A220))</f>
        <v/>
      </c>
      <c r="V220" s="6" t="n"/>
      <c r="Y220" s="7" t="b">
        <v>0</v>
      </c>
      <c r="Z220" s="6" t="n"/>
    </row>
    <row r="221">
      <c r="C221" s="6" t="n"/>
      <c r="E221" s="7" t="n"/>
      <c r="J221" s="8">
        <f>IF($I221="","",IFERROR(VLOOKUP($I221,Listas!$A$2:$B$100,2,FALSE),"—"))</f>
        <v/>
      </c>
      <c r="M221" s="7" t="b">
        <v>0</v>
      </c>
      <c r="N221" s="6" t="n"/>
      <c r="O221" s="9">
        <f>IF($N221="","",WORKDAY($N221,5,Listas!$O$2:$O$200))</f>
        <v/>
      </c>
      <c r="P221" s="10">
        <f>IF($O221="","",IF($O221&gt;=TODAY(),NETWORKDAYS(TODAY(),$O221,Listas!$O$2:$O$200)-1,NETWORKDAYS(TODAY(),$O221,Listas!$O$2:$O$200)+1))</f>
        <v/>
      </c>
      <c r="Q221" s="11">
        <f>IF($O221="","",IF($R221="Finalizado","Concluído",IF($R221="Usuário desistiu","Encerrado",IF($P221&lt;0,"Atrasado",IF($P221=0,"Vence hoje","No prazo")))))</f>
        <v/>
      </c>
      <c r="S221" s="7" t="b">
        <v>0</v>
      </c>
      <c r="T221" s="6" t="n"/>
      <c r="U221" s="12">
        <f>IF(COUNTIF(Checklist!$A$2:$A$3000,$A221)=0,"",COUNTIFS(Checklist!$A$2:$A$3000,$A221,Checklist!$C$2:$C$3000,TRUE)/COUNTIF(Checklist!$A$2:$A$3000,$A221))</f>
        <v/>
      </c>
      <c r="V221" s="6" t="n"/>
      <c r="Y221" s="7" t="b">
        <v>0</v>
      </c>
      <c r="Z221" s="6" t="n"/>
    </row>
    <row r="222">
      <c r="C222" s="6" t="n"/>
      <c r="E222" s="7" t="n"/>
      <c r="J222" s="8">
        <f>IF($I222="","",IFERROR(VLOOKUP($I222,Listas!$A$2:$B$100,2,FALSE),"—"))</f>
        <v/>
      </c>
      <c r="M222" s="7" t="b">
        <v>0</v>
      </c>
      <c r="N222" s="6" t="n"/>
      <c r="O222" s="9">
        <f>IF($N222="","",WORKDAY($N222,5,Listas!$O$2:$O$200))</f>
        <v/>
      </c>
      <c r="P222" s="10">
        <f>IF($O222="","",IF($O222&gt;=TODAY(),NETWORKDAYS(TODAY(),$O222,Listas!$O$2:$O$200)-1,NETWORKDAYS(TODAY(),$O222,Listas!$O$2:$O$200)+1))</f>
        <v/>
      </c>
      <c r="Q222" s="11">
        <f>IF($O222="","",IF($R222="Finalizado","Concluído",IF($R222="Usuário desistiu","Encerrado",IF($P222&lt;0,"Atrasado",IF($P222=0,"Vence hoje","No prazo")))))</f>
        <v/>
      </c>
      <c r="S222" s="7" t="b">
        <v>0</v>
      </c>
      <c r="T222" s="6" t="n"/>
      <c r="U222" s="12">
        <f>IF(COUNTIF(Checklist!$A$2:$A$3000,$A222)=0,"",COUNTIFS(Checklist!$A$2:$A$3000,$A222,Checklist!$C$2:$C$3000,TRUE)/COUNTIF(Checklist!$A$2:$A$3000,$A222))</f>
        <v/>
      </c>
      <c r="V222" s="6" t="n"/>
      <c r="Y222" s="7" t="b">
        <v>0</v>
      </c>
      <c r="Z222" s="6" t="n"/>
    </row>
    <row r="223">
      <c r="C223" s="6" t="n"/>
      <c r="E223" s="7" t="n"/>
      <c r="J223" s="8">
        <f>IF($I223="","",IFERROR(VLOOKUP($I223,Listas!$A$2:$B$100,2,FALSE),"—"))</f>
        <v/>
      </c>
      <c r="M223" s="7" t="b">
        <v>0</v>
      </c>
      <c r="N223" s="6" t="n"/>
      <c r="O223" s="9">
        <f>IF($N223="","",WORKDAY($N223,5,Listas!$O$2:$O$200))</f>
        <v/>
      </c>
      <c r="P223" s="10">
        <f>IF($O223="","",IF($O223&gt;=TODAY(),NETWORKDAYS(TODAY(),$O223,Listas!$O$2:$O$200)-1,NETWORKDAYS(TODAY(),$O223,Listas!$O$2:$O$200)+1))</f>
        <v/>
      </c>
      <c r="Q223" s="11">
        <f>IF($O223="","",IF($R223="Finalizado","Concluído",IF($R223="Usuário desistiu","Encerrado",IF($P223&lt;0,"Atrasado",IF($P223=0,"Vence hoje","No prazo")))))</f>
        <v/>
      </c>
      <c r="S223" s="7" t="b">
        <v>0</v>
      </c>
      <c r="T223" s="6" t="n"/>
      <c r="U223" s="12">
        <f>IF(COUNTIF(Checklist!$A$2:$A$3000,$A223)=0,"",COUNTIFS(Checklist!$A$2:$A$3000,$A223,Checklist!$C$2:$C$3000,TRUE)/COUNTIF(Checklist!$A$2:$A$3000,$A223))</f>
        <v/>
      </c>
      <c r="V223" s="6" t="n"/>
      <c r="Y223" s="7" t="b">
        <v>0</v>
      </c>
      <c r="Z223" s="6" t="n"/>
    </row>
    <row r="224">
      <c r="C224" s="6" t="n"/>
      <c r="E224" s="7" t="n"/>
      <c r="J224" s="8">
        <f>IF($I224="","",IFERROR(VLOOKUP($I224,Listas!$A$2:$B$100,2,FALSE),"—"))</f>
        <v/>
      </c>
      <c r="M224" s="7" t="b">
        <v>0</v>
      </c>
      <c r="N224" s="6" t="n"/>
      <c r="O224" s="9">
        <f>IF($N224="","",WORKDAY($N224,5,Listas!$O$2:$O$200))</f>
        <v/>
      </c>
      <c r="P224" s="10">
        <f>IF($O224="","",IF($O224&gt;=TODAY(),NETWORKDAYS(TODAY(),$O224,Listas!$O$2:$O$200)-1,NETWORKDAYS(TODAY(),$O224,Listas!$O$2:$O$200)+1))</f>
        <v/>
      </c>
      <c r="Q224" s="11">
        <f>IF($O224="","",IF($R224="Finalizado","Concluído",IF($R224="Usuário desistiu","Encerrado",IF($P224&lt;0,"Atrasado",IF($P224=0,"Vence hoje","No prazo")))))</f>
        <v/>
      </c>
      <c r="S224" s="7" t="b">
        <v>0</v>
      </c>
      <c r="T224" s="6" t="n"/>
      <c r="U224" s="12">
        <f>IF(COUNTIF(Checklist!$A$2:$A$3000,$A224)=0,"",COUNTIFS(Checklist!$A$2:$A$3000,$A224,Checklist!$C$2:$C$3000,TRUE)/COUNTIF(Checklist!$A$2:$A$3000,$A224))</f>
        <v/>
      </c>
      <c r="V224" s="6" t="n"/>
      <c r="Y224" s="7" t="b">
        <v>0</v>
      </c>
      <c r="Z224" s="6" t="n"/>
    </row>
    <row r="225">
      <c r="C225" s="6" t="n"/>
      <c r="E225" s="7" t="n"/>
      <c r="J225" s="8">
        <f>IF($I225="","",IFERROR(VLOOKUP($I225,Listas!$A$2:$B$100,2,FALSE),"—"))</f>
        <v/>
      </c>
      <c r="M225" s="7" t="b">
        <v>0</v>
      </c>
      <c r="N225" s="6" t="n"/>
      <c r="O225" s="9">
        <f>IF($N225="","",WORKDAY($N225,5,Listas!$O$2:$O$200))</f>
        <v/>
      </c>
      <c r="P225" s="10">
        <f>IF($O225="","",IF($O225&gt;=TODAY(),NETWORKDAYS(TODAY(),$O225,Listas!$O$2:$O$200)-1,NETWORKDAYS(TODAY(),$O225,Listas!$O$2:$O$200)+1))</f>
        <v/>
      </c>
      <c r="Q225" s="11">
        <f>IF($O225="","",IF($R225="Finalizado","Concluído",IF($R225="Usuário desistiu","Encerrado",IF($P225&lt;0,"Atrasado",IF($P225=0,"Vence hoje","No prazo")))))</f>
        <v/>
      </c>
      <c r="S225" s="7" t="b">
        <v>0</v>
      </c>
      <c r="T225" s="6" t="n"/>
      <c r="U225" s="12">
        <f>IF(COUNTIF(Checklist!$A$2:$A$3000,$A225)=0,"",COUNTIFS(Checklist!$A$2:$A$3000,$A225,Checklist!$C$2:$C$3000,TRUE)/COUNTIF(Checklist!$A$2:$A$3000,$A225))</f>
        <v/>
      </c>
      <c r="V225" s="6" t="n"/>
      <c r="Y225" s="7" t="b">
        <v>0</v>
      </c>
      <c r="Z225" s="6" t="n"/>
    </row>
    <row r="226">
      <c r="C226" s="6" t="n"/>
      <c r="E226" s="7" t="n"/>
      <c r="J226" s="8">
        <f>IF($I226="","",IFERROR(VLOOKUP($I226,Listas!$A$2:$B$100,2,FALSE),"—"))</f>
        <v/>
      </c>
      <c r="M226" s="7" t="b">
        <v>0</v>
      </c>
      <c r="N226" s="6" t="n"/>
      <c r="O226" s="9">
        <f>IF($N226="","",WORKDAY($N226,5,Listas!$O$2:$O$200))</f>
        <v/>
      </c>
      <c r="P226" s="10">
        <f>IF($O226="","",IF($O226&gt;=TODAY(),NETWORKDAYS(TODAY(),$O226,Listas!$O$2:$O$200)-1,NETWORKDAYS(TODAY(),$O226,Listas!$O$2:$O$200)+1))</f>
        <v/>
      </c>
      <c r="Q226" s="11">
        <f>IF($O226="","",IF($R226="Finalizado","Concluído",IF($R226="Usuário desistiu","Encerrado",IF($P226&lt;0,"Atrasado",IF($P226=0,"Vence hoje","No prazo")))))</f>
        <v/>
      </c>
      <c r="S226" s="7" t="b">
        <v>0</v>
      </c>
      <c r="T226" s="6" t="n"/>
      <c r="U226" s="12">
        <f>IF(COUNTIF(Checklist!$A$2:$A$3000,$A226)=0,"",COUNTIFS(Checklist!$A$2:$A$3000,$A226,Checklist!$C$2:$C$3000,TRUE)/COUNTIF(Checklist!$A$2:$A$3000,$A226))</f>
        <v/>
      </c>
      <c r="V226" s="6" t="n"/>
      <c r="Y226" s="7" t="b">
        <v>0</v>
      </c>
      <c r="Z226" s="6" t="n"/>
    </row>
    <row r="227">
      <c r="C227" s="6" t="n"/>
      <c r="E227" s="7" t="n"/>
      <c r="J227" s="8">
        <f>IF($I227="","",IFERROR(VLOOKUP($I227,Listas!$A$2:$B$100,2,FALSE),"—"))</f>
        <v/>
      </c>
      <c r="M227" s="7" t="b">
        <v>0</v>
      </c>
      <c r="N227" s="6" t="n"/>
      <c r="O227" s="9">
        <f>IF($N227="","",WORKDAY($N227,5,Listas!$O$2:$O$200))</f>
        <v/>
      </c>
      <c r="P227" s="10">
        <f>IF($O227="","",IF($O227&gt;=TODAY(),NETWORKDAYS(TODAY(),$O227,Listas!$O$2:$O$200)-1,NETWORKDAYS(TODAY(),$O227,Listas!$O$2:$O$200)+1))</f>
        <v/>
      </c>
      <c r="Q227" s="11">
        <f>IF($O227="","",IF($R227="Finalizado","Concluído",IF($R227="Usuário desistiu","Encerrado",IF($P227&lt;0,"Atrasado",IF($P227=0,"Vence hoje","No prazo")))))</f>
        <v/>
      </c>
      <c r="S227" s="7" t="b">
        <v>0</v>
      </c>
      <c r="T227" s="6" t="n"/>
      <c r="U227" s="12">
        <f>IF(COUNTIF(Checklist!$A$2:$A$3000,$A227)=0,"",COUNTIFS(Checklist!$A$2:$A$3000,$A227,Checklist!$C$2:$C$3000,TRUE)/COUNTIF(Checklist!$A$2:$A$3000,$A227))</f>
        <v/>
      </c>
      <c r="V227" s="6" t="n"/>
      <c r="Y227" s="7" t="b">
        <v>0</v>
      </c>
      <c r="Z227" s="6" t="n"/>
    </row>
    <row r="228">
      <c r="C228" s="6" t="n"/>
      <c r="E228" s="7" t="n"/>
      <c r="J228" s="8">
        <f>IF($I228="","",IFERROR(VLOOKUP($I228,Listas!$A$2:$B$100,2,FALSE),"—"))</f>
        <v/>
      </c>
      <c r="M228" s="7" t="b">
        <v>0</v>
      </c>
      <c r="N228" s="6" t="n"/>
      <c r="O228" s="9">
        <f>IF($N228="","",WORKDAY($N228,5,Listas!$O$2:$O$200))</f>
        <v/>
      </c>
      <c r="P228" s="10">
        <f>IF($O228="","",IF($O228&gt;=TODAY(),NETWORKDAYS(TODAY(),$O228,Listas!$O$2:$O$200)-1,NETWORKDAYS(TODAY(),$O228,Listas!$O$2:$O$200)+1))</f>
        <v/>
      </c>
      <c r="Q228" s="11">
        <f>IF($O228="","",IF($R228="Finalizado","Concluído",IF($R228="Usuário desistiu","Encerrado",IF($P228&lt;0,"Atrasado",IF($P228=0,"Vence hoje","No prazo")))))</f>
        <v/>
      </c>
      <c r="S228" s="7" t="b">
        <v>0</v>
      </c>
      <c r="T228" s="6" t="n"/>
      <c r="U228" s="12">
        <f>IF(COUNTIF(Checklist!$A$2:$A$3000,$A228)=0,"",COUNTIFS(Checklist!$A$2:$A$3000,$A228,Checklist!$C$2:$C$3000,TRUE)/COUNTIF(Checklist!$A$2:$A$3000,$A228))</f>
        <v/>
      </c>
      <c r="V228" s="6" t="n"/>
      <c r="Y228" s="7" t="b">
        <v>0</v>
      </c>
      <c r="Z228" s="6" t="n"/>
    </row>
    <row r="229">
      <c r="C229" s="6" t="n"/>
      <c r="E229" s="7" t="n"/>
      <c r="J229" s="8">
        <f>IF($I229="","",IFERROR(VLOOKUP($I229,Listas!$A$2:$B$100,2,FALSE),"—"))</f>
        <v/>
      </c>
      <c r="M229" s="7" t="b">
        <v>0</v>
      </c>
      <c r="N229" s="6" t="n"/>
      <c r="O229" s="9">
        <f>IF($N229="","",WORKDAY($N229,5,Listas!$O$2:$O$200))</f>
        <v/>
      </c>
      <c r="P229" s="10">
        <f>IF($O229="","",IF($O229&gt;=TODAY(),NETWORKDAYS(TODAY(),$O229,Listas!$O$2:$O$200)-1,NETWORKDAYS(TODAY(),$O229,Listas!$O$2:$O$200)+1))</f>
        <v/>
      </c>
      <c r="Q229" s="11">
        <f>IF($O229="","",IF($R229="Finalizado","Concluído",IF($R229="Usuário desistiu","Encerrado",IF($P229&lt;0,"Atrasado",IF($P229=0,"Vence hoje","No prazo")))))</f>
        <v/>
      </c>
      <c r="S229" s="7" t="b">
        <v>0</v>
      </c>
      <c r="T229" s="6" t="n"/>
      <c r="U229" s="12">
        <f>IF(COUNTIF(Checklist!$A$2:$A$3000,$A229)=0,"",COUNTIFS(Checklist!$A$2:$A$3000,$A229,Checklist!$C$2:$C$3000,TRUE)/COUNTIF(Checklist!$A$2:$A$3000,$A229))</f>
        <v/>
      </c>
      <c r="V229" s="6" t="n"/>
      <c r="Y229" s="7" t="b">
        <v>0</v>
      </c>
      <c r="Z229" s="6" t="n"/>
    </row>
    <row r="230">
      <c r="C230" s="6" t="n"/>
      <c r="E230" s="7" t="n"/>
      <c r="J230" s="8">
        <f>IF($I230="","",IFERROR(VLOOKUP($I230,Listas!$A$2:$B$100,2,FALSE),"—"))</f>
        <v/>
      </c>
      <c r="M230" s="7" t="b">
        <v>0</v>
      </c>
      <c r="N230" s="6" t="n"/>
      <c r="O230" s="9">
        <f>IF($N230="","",WORKDAY($N230,5,Listas!$O$2:$O$200))</f>
        <v/>
      </c>
      <c r="P230" s="10">
        <f>IF($O230="","",IF($O230&gt;=TODAY(),NETWORKDAYS(TODAY(),$O230,Listas!$O$2:$O$200)-1,NETWORKDAYS(TODAY(),$O230,Listas!$O$2:$O$200)+1))</f>
        <v/>
      </c>
      <c r="Q230" s="11">
        <f>IF($O230="","",IF($R230="Finalizado","Concluído",IF($R230="Usuário desistiu","Encerrado",IF($P230&lt;0,"Atrasado",IF($P230=0,"Vence hoje","No prazo")))))</f>
        <v/>
      </c>
      <c r="S230" s="7" t="b">
        <v>0</v>
      </c>
      <c r="T230" s="6" t="n"/>
      <c r="U230" s="12">
        <f>IF(COUNTIF(Checklist!$A$2:$A$3000,$A230)=0,"",COUNTIFS(Checklist!$A$2:$A$3000,$A230,Checklist!$C$2:$C$3000,TRUE)/COUNTIF(Checklist!$A$2:$A$3000,$A230))</f>
        <v/>
      </c>
      <c r="V230" s="6" t="n"/>
      <c r="Y230" s="7" t="b">
        <v>0</v>
      </c>
      <c r="Z230" s="6" t="n"/>
    </row>
    <row r="231">
      <c r="C231" s="6" t="n"/>
      <c r="E231" s="7" t="n"/>
      <c r="J231" s="8">
        <f>IF($I231="","",IFERROR(VLOOKUP($I231,Listas!$A$2:$B$100,2,FALSE),"—"))</f>
        <v/>
      </c>
      <c r="M231" s="7" t="b">
        <v>0</v>
      </c>
      <c r="N231" s="6" t="n"/>
      <c r="O231" s="9">
        <f>IF($N231="","",WORKDAY($N231,5,Listas!$O$2:$O$200))</f>
        <v/>
      </c>
      <c r="P231" s="10">
        <f>IF($O231="","",IF($O231&gt;=TODAY(),NETWORKDAYS(TODAY(),$O231,Listas!$O$2:$O$200)-1,NETWORKDAYS(TODAY(),$O231,Listas!$O$2:$O$200)+1))</f>
        <v/>
      </c>
      <c r="Q231" s="11">
        <f>IF($O231="","",IF($R231="Finalizado","Concluído",IF($R231="Usuário desistiu","Encerrado",IF($P231&lt;0,"Atrasado",IF($P231=0,"Vence hoje","No prazo")))))</f>
        <v/>
      </c>
      <c r="S231" s="7" t="b">
        <v>0</v>
      </c>
      <c r="T231" s="6" t="n"/>
      <c r="U231" s="12">
        <f>IF(COUNTIF(Checklist!$A$2:$A$3000,$A231)=0,"",COUNTIFS(Checklist!$A$2:$A$3000,$A231,Checklist!$C$2:$C$3000,TRUE)/COUNTIF(Checklist!$A$2:$A$3000,$A231))</f>
        <v/>
      </c>
      <c r="V231" s="6" t="n"/>
      <c r="Y231" s="7" t="b">
        <v>0</v>
      </c>
      <c r="Z231" s="6" t="n"/>
    </row>
    <row r="232">
      <c r="C232" s="6" t="n"/>
      <c r="E232" s="7" t="n"/>
      <c r="J232" s="8">
        <f>IF($I232="","",IFERROR(VLOOKUP($I232,Listas!$A$2:$B$100,2,FALSE),"—"))</f>
        <v/>
      </c>
      <c r="M232" s="7" t="b">
        <v>0</v>
      </c>
      <c r="N232" s="6" t="n"/>
      <c r="O232" s="9">
        <f>IF($N232="","",WORKDAY($N232,5,Listas!$O$2:$O$200))</f>
        <v/>
      </c>
      <c r="P232" s="10">
        <f>IF($O232="","",IF($O232&gt;=TODAY(),NETWORKDAYS(TODAY(),$O232,Listas!$O$2:$O$200)-1,NETWORKDAYS(TODAY(),$O232,Listas!$O$2:$O$200)+1))</f>
        <v/>
      </c>
      <c r="Q232" s="11">
        <f>IF($O232="","",IF($R232="Finalizado","Concluído",IF($R232="Usuário desistiu","Encerrado",IF($P232&lt;0,"Atrasado",IF($P232=0,"Vence hoje","No prazo")))))</f>
        <v/>
      </c>
      <c r="S232" s="7" t="b">
        <v>0</v>
      </c>
      <c r="T232" s="6" t="n"/>
      <c r="U232" s="12">
        <f>IF(COUNTIF(Checklist!$A$2:$A$3000,$A232)=0,"",COUNTIFS(Checklist!$A$2:$A$3000,$A232,Checklist!$C$2:$C$3000,TRUE)/COUNTIF(Checklist!$A$2:$A$3000,$A232))</f>
        <v/>
      </c>
      <c r="V232" s="6" t="n"/>
      <c r="Y232" s="7" t="b">
        <v>0</v>
      </c>
      <c r="Z232" s="6" t="n"/>
    </row>
    <row r="233">
      <c r="C233" s="6" t="n"/>
      <c r="E233" s="7" t="n"/>
      <c r="J233" s="8">
        <f>IF($I233="","",IFERROR(VLOOKUP($I233,Listas!$A$2:$B$100,2,FALSE),"—"))</f>
        <v/>
      </c>
      <c r="M233" s="7" t="b">
        <v>0</v>
      </c>
      <c r="N233" s="6" t="n"/>
      <c r="O233" s="9">
        <f>IF($N233="","",WORKDAY($N233,5,Listas!$O$2:$O$200))</f>
        <v/>
      </c>
      <c r="P233" s="10">
        <f>IF($O233="","",IF($O233&gt;=TODAY(),NETWORKDAYS(TODAY(),$O233,Listas!$O$2:$O$200)-1,NETWORKDAYS(TODAY(),$O233,Listas!$O$2:$O$200)+1))</f>
        <v/>
      </c>
      <c r="Q233" s="11">
        <f>IF($O233="","",IF($R233="Finalizado","Concluído",IF($R233="Usuário desistiu","Encerrado",IF($P233&lt;0,"Atrasado",IF($P233=0,"Vence hoje","No prazo")))))</f>
        <v/>
      </c>
      <c r="S233" s="7" t="b">
        <v>0</v>
      </c>
      <c r="T233" s="6" t="n"/>
      <c r="U233" s="12">
        <f>IF(COUNTIF(Checklist!$A$2:$A$3000,$A233)=0,"",COUNTIFS(Checklist!$A$2:$A$3000,$A233,Checklist!$C$2:$C$3000,TRUE)/COUNTIF(Checklist!$A$2:$A$3000,$A233))</f>
        <v/>
      </c>
      <c r="V233" s="6" t="n"/>
      <c r="Y233" s="7" t="b">
        <v>0</v>
      </c>
      <c r="Z233" s="6" t="n"/>
    </row>
    <row r="234">
      <c r="C234" s="6" t="n"/>
      <c r="E234" s="7" t="n"/>
      <c r="J234" s="8">
        <f>IF($I234="","",IFERROR(VLOOKUP($I234,Listas!$A$2:$B$100,2,FALSE),"—"))</f>
        <v/>
      </c>
      <c r="M234" s="7" t="b">
        <v>0</v>
      </c>
      <c r="N234" s="6" t="n"/>
      <c r="O234" s="9">
        <f>IF($N234="","",WORKDAY($N234,5,Listas!$O$2:$O$200))</f>
        <v/>
      </c>
      <c r="P234" s="10">
        <f>IF($O234="","",IF($O234&gt;=TODAY(),NETWORKDAYS(TODAY(),$O234,Listas!$O$2:$O$200)-1,NETWORKDAYS(TODAY(),$O234,Listas!$O$2:$O$200)+1))</f>
        <v/>
      </c>
      <c r="Q234" s="11">
        <f>IF($O234="","",IF($R234="Finalizado","Concluído",IF($R234="Usuário desistiu","Encerrado",IF($P234&lt;0,"Atrasado",IF($P234=0,"Vence hoje","No prazo")))))</f>
        <v/>
      </c>
      <c r="S234" s="7" t="b">
        <v>0</v>
      </c>
      <c r="T234" s="6" t="n"/>
      <c r="U234" s="12">
        <f>IF(COUNTIF(Checklist!$A$2:$A$3000,$A234)=0,"",COUNTIFS(Checklist!$A$2:$A$3000,$A234,Checklist!$C$2:$C$3000,TRUE)/COUNTIF(Checklist!$A$2:$A$3000,$A234))</f>
        <v/>
      </c>
      <c r="V234" s="6" t="n"/>
      <c r="Y234" s="7" t="b">
        <v>0</v>
      </c>
      <c r="Z234" s="6" t="n"/>
    </row>
    <row r="235">
      <c r="C235" s="6" t="n"/>
      <c r="E235" s="7" t="n"/>
      <c r="J235" s="8">
        <f>IF($I235="","",IFERROR(VLOOKUP($I235,Listas!$A$2:$B$100,2,FALSE),"—"))</f>
        <v/>
      </c>
      <c r="M235" s="7" t="b">
        <v>0</v>
      </c>
      <c r="N235" s="6" t="n"/>
      <c r="O235" s="9">
        <f>IF($N235="","",WORKDAY($N235,5,Listas!$O$2:$O$200))</f>
        <v/>
      </c>
      <c r="P235" s="10">
        <f>IF($O235="","",IF($O235&gt;=TODAY(),NETWORKDAYS(TODAY(),$O235,Listas!$O$2:$O$200)-1,NETWORKDAYS(TODAY(),$O235,Listas!$O$2:$O$200)+1))</f>
        <v/>
      </c>
      <c r="Q235" s="11">
        <f>IF($O235="","",IF($R235="Finalizado","Concluído",IF($R235="Usuário desistiu","Encerrado",IF($P235&lt;0,"Atrasado",IF($P235=0,"Vence hoje","No prazo")))))</f>
        <v/>
      </c>
      <c r="S235" s="7" t="b">
        <v>0</v>
      </c>
      <c r="T235" s="6" t="n"/>
      <c r="U235" s="12">
        <f>IF(COUNTIF(Checklist!$A$2:$A$3000,$A235)=0,"",COUNTIFS(Checklist!$A$2:$A$3000,$A235,Checklist!$C$2:$C$3000,TRUE)/COUNTIF(Checklist!$A$2:$A$3000,$A235))</f>
        <v/>
      </c>
      <c r="V235" s="6" t="n"/>
      <c r="Y235" s="7" t="b">
        <v>0</v>
      </c>
      <c r="Z235" s="6" t="n"/>
    </row>
    <row r="236">
      <c r="C236" s="6" t="n"/>
      <c r="E236" s="7" t="n"/>
      <c r="J236" s="8">
        <f>IF($I236="","",IFERROR(VLOOKUP($I236,Listas!$A$2:$B$100,2,FALSE),"—"))</f>
        <v/>
      </c>
      <c r="M236" s="7" t="b">
        <v>0</v>
      </c>
      <c r="N236" s="6" t="n"/>
      <c r="O236" s="9">
        <f>IF($N236="","",WORKDAY($N236,5,Listas!$O$2:$O$200))</f>
        <v/>
      </c>
      <c r="P236" s="10">
        <f>IF($O236="","",IF($O236&gt;=TODAY(),NETWORKDAYS(TODAY(),$O236,Listas!$O$2:$O$200)-1,NETWORKDAYS(TODAY(),$O236,Listas!$O$2:$O$200)+1))</f>
        <v/>
      </c>
      <c r="Q236" s="11">
        <f>IF($O236="","",IF($R236="Finalizado","Concluído",IF($R236="Usuário desistiu","Encerrado",IF($P236&lt;0,"Atrasado",IF($P236=0,"Vence hoje","No prazo")))))</f>
        <v/>
      </c>
      <c r="S236" s="7" t="b">
        <v>0</v>
      </c>
      <c r="T236" s="6" t="n"/>
      <c r="U236" s="12">
        <f>IF(COUNTIF(Checklist!$A$2:$A$3000,$A236)=0,"",COUNTIFS(Checklist!$A$2:$A$3000,$A236,Checklist!$C$2:$C$3000,TRUE)/COUNTIF(Checklist!$A$2:$A$3000,$A236))</f>
        <v/>
      </c>
      <c r="V236" s="6" t="n"/>
      <c r="Y236" s="7" t="b">
        <v>0</v>
      </c>
      <c r="Z236" s="6" t="n"/>
    </row>
    <row r="237">
      <c r="C237" s="6" t="n"/>
      <c r="E237" s="7" t="n"/>
      <c r="J237" s="8">
        <f>IF($I237="","",IFERROR(VLOOKUP($I237,Listas!$A$2:$B$100,2,FALSE),"—"))</f>
        <v/>
      </c>
      <c r="M237" s="7" t="b">
        <v>0</v>
      </c>
      <c r="N237" s="6" t="n"/>
      <c r="O237" s="9">
        <f>IF($N237="","",WORKDAY($N237,5,Listas!$O$2:$O$200))</f>
        <v/>
      </c>
      <c r="P237" s="10">
        <f>IF($O237="","",IF($O237&gt;=TODAY(),NETWORKDAYS(TODAY(),$O237,Listas!$O$2:$O$200)-1,NETWORKDAYS(TODAY(),$O237,Listas!$O$2:$O$200)+1))</f>
        <v/>
      </c>
      <c r="Q237" s="11">
        <f>IF($O237="","",IF($R237="Finalizado","Concluído",IF($R237="Usuário desistiu","Encerrado",IF($P237&lt;0,"Atrasado",IF($P237=0,"Vence hoje","No prazo")))))</f>
        <v/>
      </c>
      <c r="S237" s="7" t="b">
        <v>0</v>
      </c>
      <c r="T237" s="6" t="n"/>
      <c r="U237" s="12">
        <f>IF(COUNTIF(Checklist!$A$2:$A$3000,$A237)=0,"",COUNTIFS(Checklist!$A$2:$A$3000,$A237,Checklist!$C$2:$C$3000,TRUE)/COUNTIF(Checklist!$A$2:$A$3000,$A237))</f>
        <v/>
      </c>
      <c r="V237" s="6" t="n"/>
      <c r="Y237" s="7" t="b">
        <v>0</v>
      </c>
      <c r="Z237" s="6" t="n"/>
    </row>
    <row r="238">
      <c r="C238" s="6" t="n"/>
      <c r="E238" s="7" t="n"/>
      <c r="J238" s="8">
        <f>IF($I238="","",IFERROR(VLOOKUP($I238,Listas!$A$2:$B$100,2,FALSE),"—"))</f>
        <v/>
      </c>
      <c r="M238" s="7" t="b">
        <v>0</v>
      </c>
      <c r="N238" s="6" t="n"/>
      <c r="O238" s="9">
        <f>IF($N238="","",WORKDAY($N238,5,Listas!$O$2:$O$200))</f>
        <v/>
      </c>
      <c r="P238" s="10">
        <f>IF($O238="","",IF($O238&gt;=TODAY(),NETWORKDAYS(TODAY(),$O238,Listas!$O$2:$O$200)-1,NETWORKDAYS(TODAY(),$O238,Listas!$O$2:$O$200)+1))</f>
        <v/>
      </c>
      <c r="Q238" s="11">
        <f>IF($O238="","",IF($R238="Finalizado","Concluído",IF($R238="Usuário desistiu","Encerrado",IF($P238&lt;0,"Atrasado",IF($P238=0,"Vence hoje","No prazo")))))</f>
        <v/>
      </c>
      <c r="S238" s="7" t="b">
        <v>0</v>
      </c>
      <c r="T238" s="6" t="n"/>
      <c r="U238" s="12">
        <f>IF(COUNTIF(Checklist!$A$2:$A$3000,$A238)=0,"",COUNTIFS(Checklist!$A$2:$A$3000,$A238,Checklist!$C$2:$C$3000,TRUE)/COUNTIF(Checklist!$A$2:$A$3000,$A238))</f>
        <v/>
      </c>
      <c r="V238" s="6" t="n"/>
      <c r="Y238" s="7" t="b">
        <v>0</v>
      </c>
      <c r="Z238" s="6" t="n"/>
    </row>
    <row r="239">
      <c r="C239" s="6" t="n"/>
      <c r="E239" s="7" t="n"/>
      <c r="J239" s="8">
        <f>IF($I239="","",IFERROR(VLOOKUP($I239,Listas!$A$2:$B$100,2,FALSE),"—"))</f>
        <v/>
      </c>
      <c r="M239" s="7" t="b">
        <v>0</v>
      </c>
      <c r="N239" s="6" t="n"/>
      <c r="O239" s="9">
        <f>IF($N239="","",WORKDAY($N239,5,Listas!$O$2:$O$200))</f>
        <v/>
      </c>
      <c r="P239" s="10">
        <f>IF($O239="","",IF($O239&gt;=TODAY(),NETWORKDAYS(TODAY(),$O239,Listas!$O$2:$O$200)-1,NETWORKDAYS(TODAY(),$O239,Listas!$O$2:$O$200)+1))</f>
        <v/>
      </c>
      <c r="Q239" s="11">
        <f>IF($O239="","",IF($R239="Finalizado","Concluído",IF($R239="Usuário desistiu","Encerrado",IF($P239&lt;0,"Atrasado",IF($P239=0,"Vence hoje","No prazo")))))</f>
        <v/>
      </c>
      <c r="S239" s="7" t="b">
        <v>0</v>
      </c>
      <c r="T239" s="6" t="n"/>
      <c r="U239" s="12">
        <f>IF(COUNTIF(Checklist!$A$2:$A$3000,$A239)=0,"",COUNTIFS(Checklist!$A$2:$A$3000,$A239,Checklist!$C$2:$C$3000,TRUE)/COUNTIF(Checklist!$A$2:$A$3000,$A239))</f>
        <v/>
      </c>
      <c r="V239" s="6" t="n"/>
      <c r="Y239" s="7" t="b">
        <v>0</v>
      </c>
      <c r="Z239" s="6" t="n"/>
    </row>
    <row r="240">
      <c r="C240" s="6" t="n"/>
      <c r="E240" s="7" t="n"/>
      <c r="J240" s="8">
        <f>IF($I240="","",IFERROR(VLOOKUP($I240,Listas!$A$2:$B$100,2,FALSE),"—"))</f>
        <v/>
      </c>
      <c r="M240" s="7" t="b">
        <v>0</v>
      </c>
      <c r="N240" s="6" t="n"/>
      <c r="O240" s="9">
        <f>IF($N240="","",WORKDAY($N240,5,Listas!$O$2:$O$200))</f>
        <v/>
      </c>
      <c r="P240" s="10">
        <f>IF($O240="","",IF($O240&gt;=TODAY(),NETWORKDAYS(TODAY(),$O240,Listas!$O$2:$O$200)-1,NETWORKDAYS(TODAY(),$O240,Listas!$O$2:$O$200)+1))</f>
        <v/>
      </c>
      <c r="Q240" s="11">
        <f>IF($O240="","",IF($R240="Finalizado","Concluído",IF($R240="Usuário desistiu","Encerrado",IF($P240&lt;0,"Atrasado",IF($P240=0,"Vence hoje","No prazo")))))</f>
        <v/>
      </c>
      <c r="S240" s="7" t="b">
        <v>0</v>
      </c>
      <c r="T240" s="6" t="n"/>
      <c r="U240" s="12">
        <f>IF(COUNTIF(Checklist!$A$2:$A$3000,$A240)=0,"",COUNTIFS(Checklist!$A$2:$A$3000,$A240,Checklist!$C$2:$C$3000,TRUE)/COUNTIF(Checklist!$A$2:$A$3000,$A240))</f>
        <v/>
      </c>
      <c r="V240" s="6" t="n"/>
      <c r="Y240" s="7" t="b">
        <v>0</v>
      </c>
      <c r="Z240" s="6" t="n"/>
    </row>
    <row r="241">
      <c r="C241" s="6" t="n"/>
      <c r="E241" s="7" t="n"/>
      <c r="J241" s="8">
        <f>IF($I241="","",IFERROR(VLOOKUP($I241,Listas!$A$2:$B$100,2,FALSE),"—"))</f>
        <v/>
      </c>
      <c r="M241" s="7" t="b">
        <v>0</v>
      </c>
      <c r="N241" s="6" t="n"/>
      <c r="O241" s="9">
        <f>IF($N241="","",WORKDAY($N241,5,Listas!$O$2:$O$200))</f>
        <v/>
      </c>
      <c r="P241" s="10">
        <f>IF($O241="","",IF($O241&gt;=TODAY(),NETWORKDAYS(TODAY(),$O241,Listas!$O$2:$O$200)-1,NETWORKDAYS(TODAY(),$O241,Listas!$O$2:$O$200)+1))</f>
        <v/>
      </c>
      <c r="Q241" s="11">
        <f>IF($O241="","",IF($R241="Finalizado","Concluído",IF($R241="Usuário desistiu","Encerrado",IF($P241&lt;0,"Atrasado",IF($P241=0,"Vence hoje","No prazo")))))</f>
        <v/>
      </c>
      <c r="S241" s="7" t="b">
        <v>0</v>
      </c>
      <c r="T241" s="6" t="n"/>
      <c r="U241" s="12">
        <f>IF(COUNTIF(Checklist!$A$2:$A$3000,$A241)=0,"",COUNTIFS(Checklist!$A$2:$A$3000,$A241,Checklist!$C$2:$C$3000,TRUE)/COUNTIF(Checklist!$A$2:$A$3000,$A241))</f>
        <v/>
      </c>
      <c r="V241" s="6" t="n"/>
      <c r="Y241" s="7" t="b">
        <v>0</v>
      </c>
      <c r="Z241" s="6" t="n"/>
    </row>
    <row r="242">
      <c r="C242" s="6" t="n"/>
      <c r="E242" s="7" t="n"/>
      <c r="J242" s="8">
        <f>IF($I242="","",IFERROR(VLOOKUP($I242,Listas!$A$2:$B$100,2,FALSE),"—"))</f>
        <v/>
      </c>
      <c r="M242" s="7" t="b">
        <v>0</v>
      </c>
      <c r="N242" s="6" t="n"/>
      <c r="O242" s="9">
        <f>IF($N242="","",WORKDAY($N242,5,Listas!$O$2:$O$200))</f>
        <v/>
      </c>
      <c r="P242" s="10">
        <f>IF($O242="","",IF($O242&gt;=TODAY(),NETWORKDAYS(TODAY(),$O242,Listas!$O$2:$O$200)-1,NETWORKDAYS(TODAY(),$O242,Listas!$O$2:$O$200)+1))</f>
        <v/>
      </c>
      <c r="Q242" s="11">
        <f>IF($O242="","",IF($R242="Finalizado","Concluído",IF($R242="Usuário desistiu","Encerrado",IF($P242&lt;0,"Atrasado",IF($P242=0,"Vence hoje","No prazo")))))</f>
        <v/>
      </c>
      <c r="S242" s="7" t="b">
        <v>0</v>
      </c>
      <c r="T242" s="6" t="n"/>
      <c r="U242" s="12">
        <f>IF(COUNTIF(Checklist!$A$2:$A$3000,$A242)=0,"",COUNTIFS(Checklist!$A$2:$A$3000,$A242,Checklist!$C$2:$C$3000,TRUE)/COUNTIF(Checklist!$A$2:$A$3000,$A242))</f>
        <v/>
      </c>
      <c r="V242" s="6" t="n"/>
      <c r="Y242" s="7" t="b">
        <v>0</v>
      </c>
      <c r="Z242" s="6" t="n"/>
    </row>
    <row r="243">
      <c r="C243" s="6" t="n"/>
      <c r="E243" s="7" t="n"/>
      <c r="J243" s="8">
        <f>IF($I243="","",IFERROR(VLOOKUP($I243,Listas!$A$2:$B$100,2,FALSE),"—"))</f>
        <v/>
      </c>
      <c r="M243" s="7" t="b">
        <v>0</v>
      </c>
      <c r="N243" s="6" t="n"/>
      <c r="O243" s="9">
        <f>IF($N243="","",WORKDAY($N243,5,Listas!$O$2:$O$200))</f>
        <v/>
      </c>
      <c r="P243" s="10">
        <f>IF($O243="","",IF($O243&gt;=TODAY(),NETWORKDAYS(TODAY(),$O243,Listas!$O$2:$O$200)-1,NETWORKDAYS(TODAY(),$O243,Listas!$O$2:$O$200)+1))</f>
        <v/>
      </c>
      <c r="Q243" s="11">
        <f>IF($O243="","",IF($R243="Finalizado","Concluído",IF($R243="Usuário desistiu","Encerrado",IF($P243&lt;0,"Atrasado",IF($P243=0,"Vence hoje","No prazo")))))</f>
        <v/>
      </c>
      <c r="S243" s="7" t="b">
        <v>0</v>
      </c>
      <c r="T243" s="6" t="n"/>
      <c r="U243" s="12">
        <f>IF(COUNTIF(Checklist!$A$2:$A$3000,$A243)=0,"",COUNTIFS(Checklist!$A$2:$A$3000,$A243,Checklist!$C$2:$C$3000,TRUE)/COUNTIF(Checklist!$A$2:$A$3000,$A243))</f>
        <v/>
      </c>
      <c r="V243" s="6" t="n"/>
      <c r="Y243" s="7" t="b">
        <v>0</v>
      </c>
      <c r="Z243" s="6" t="n"/>
    </row>
    <row r="244">
      <c r="C244" s="6" t="n"/>
      <c r="E244" s="7" t="n"/>
      <c r="J244" s="8">
        <f>IF($I244="","",IFERROR(VLOOKUP($I244,Listas!$A$2:$B$100,2,FALSE),"—"))</f>
        <v/>
      </c>
      <c r="M244" s="7" t="b">
        <v>0</v>
      </c>
      <c r="N244" s="6" t="n"/>
      <c r="O244" s="9">
        <f>IF($N244="","",WORKDAY($N244,5,Listas!$O$2:$O$200))</f>
        <v/>
      </c>
      <c r="P244" s="10">
        <f>IF($O244="","",IF($O244&gt;=TODAY(),NETWORKDAYS(TODAY(),$O244,Listas!$O$2:$O$200)-1,NETWORKDAYS(TODAY(),$O244,Listas!$O$2:$O$200)+1))</f>
        <v/>
      </c>
      <c r="Q244" s="11">
        <f>IF($O244="","",IF($R244="Finalizado","Concluído",IF($R244="Usuário desistiu","Encerrado",IF($P244&lt;0,"Atrasado",IF($P244=0,"Vence hoje","No prazo")))))</f>
        <v/>
      </c>
      <c r="S244" s="7" t="b">
        <v>0</v>
      </c>
      <c r="T244" s="6" t="n"/>
      <c r="U244" s="12">
        <f>IF(COUNTIF(Checklist!$A$2:$A$3000,$A244)=0,"",COUNTIFS(Checklist!$A$2:$A$3000,$A244,Checklist!$C$2:$C$3000,TRUE)/COUNTIF(Checklist!$A$2:$A$3000,$A244))</f>
        <v/>
      </c>
      <c r="V244" s="6" t="n"/>
      <c r="Y244" s="7" t="b">
        <v>0</v>
      </c>
      <c r="Z244" s="6" t="n"/>
    </row>
    <row r="245">
      <c r="C245" s="6" t="n"/>
      <c r="E245" s="7" t="n"/>
      <c r="J245" s="8">
        <f>IF($I245="","",IFERROR(VLOOKUP($I245,Listas!$A$2:$B$100,2,FALSE),"—"))</f>
        <v/>
      </c>
      <c r="M245" s="7" t="b">
        <v>0</v>
      </c>
      <c r="N245" s="6" t="n"/>
      <c r="O245" s="9">
        <f>IF($N245="","",WORKDAY($N245,5,Listas!$O$2:$O$200))</f>
        <v/>
      </c>
      <c r="P245" s="10">
        <f>IF($O245="","",IF($O245&gt;=TODAY(),NETWORKDAYS(TODAY(),$O245,Listas!$O$2:$O$200)-1,NETWORKDAYS(TODAY(),$O245,Listas!$O$2:$O$200)+1))</f>
        <v/>
      </c>
      <c r="Q245" s="11">
        <f>IF($O245="","",IF($R245="Finalizado","Concluído",IF($R245="Usuário desistiu","Encerrado",IF($P245&lt;0,"Atrasado",IF($P245=0,"Vence hoje","No prazo")))))</f>
        <v/>
      </c>
      <c r="S245" s="7" t="b">
        <v>0</v>
      </c>
      <c r="T245" s="6" t="n"/>
      <c r="U245" s="12">
        <f>IF(COUNTIF(Checklist!$A$2:$A$3000,$A245)=0,"",COUNTIFS(Checklist!$A$2:$A$3000,$A245,Checklist!$C$2:$C$3000,TRUE)/COUNTIF(Checklist!$A$2:$A$3000,$A245))</f>
        <v/>
      </c>
      <c r="V245" s="6" t="n"/>
      <c r="Y245" s="7" t="b">
        <v>0</v>
      </c>
      <c r="Z245" s="6" t="n"/>
    </row>
    <row r="246">
      <c r="C246" s="6" t="n"/>
      <c r="E246" s="7" t="n"/>
      <c r="J246" s="8">
        <f>IF($I246="","",IFERROR(VLOOKUP($I246,Listas!$A$2:$B$100,2,FALSE),"—"))</f>
        <v/>
      </c>
      <c r="M246" s="7" t="b">
        <v>0</v>
      </c>
      <c r="N246" s="6" t="n"/>
      <c r="O246" s="9">
        <f>IF($N246="","",WORKDAY($N246,5,Listas!$O$2:$O$200))</f>
        <v/>
      </c>
      <c r="P246" s="10">
        <f>IF($O246="","",IF($O246&gt;=TODAY(),NETWORKDAYS(TODAY(),$O246,Listas!$O$2:$O$200)-1,NETWORKDAYS(TODAY(),$O246,Listas!$O$2:$O$200)+1))</f>
        <v/>
      </c>
      <c r="Q246" s="11">
        <f>IF($O246="","",IF($R246="Finalizado","Concluído",IF($R246="Usuário desistiu","Encerrado",IF($P246&lt;0,"Atrasado",IF($P246=0,"Vence hoje","No prazo")))))</f>
        <v/>
      </c>
      <c r="S246" s="7" t="b">
        <v>0</v>
      </c>
      <c r="T246" s="6" t="n"/>
      <c r="U246" s="12">
        <f>IF(COUNTIF(Checklist!$A$2:$A$3000,$A246)=0,"",COUNTIFS(Checklist!$A$2:$A$3000,$A246,Checklist!$C$2:$C$3000,TRUE)/COUNTIF(Checklist!$A$2:$A$3000,$A246))</f>
        <v/>
      </c>
      <c r="V246" s="6" t="n"/>
      <c r="Y246" s="7" t="b">
        <v>0</v>
      </c>
      <c r="Z246" s="6" t="n"/>
    </row>
    <row r="247">
      <c r="C247" s="6" t="n"/>
      <c r="E247" s="7" t="n"/>
      <c r="J247" s="8">
        <f>IF($I247="","",IFERROR(VLOOKUP($I247,Listas!$A$2:$B$100,2,FALSE),"—"))</f>
        <v/>
      </c>
      <c r="M247" s="7" t="b">
        <v>0</v>
      </c>
      <c r="N247" s="6" t="n"/>
      <c r="O247" s="9">
        <f>IF($N247="","",WORKDAY($N247,5,Listas!$O$2:$O$200))</f>
        <v/>
      </c>
      <c r="P247" s="10">
        <f>IF($O247="","",IF($O247&gt;=TODAY(),NETWORKDAYS(TODAY(),$O247,Listas!$O$2:$O$200)-1,NETWORKDAYS(TODAY(),$O247,Listas!$O$2:$O$200)+1))</f>
        <v/>
      </c>
      <c r="Q247" s="11">
        <f>IF($O247="","",IF($R247="Finalizado","Concluído",IF($R247="Usuário desistiu","Encerrado",IF($P247&lt;0,"Atrasado",IF($P247=0,"Vence hoje","No prazo")))))</f>
        <v/>
      </c>
      <c r="S247" s="7" t="b">
        <v>0</v>
      </c>
      <c r="T247" s="6" t="n"/>
      <c r="U247" s="12">
        <f>IF(COUNTIF(Checklist!$A$2:$A$3000,$A247)=0,"",COUNTIFS(Checklist!$A$2:$A$3000,$A247,Checklist!$C$2:$C$3000,TRUE)/COUNTIF(Checklist!$A$2:$A$3000,$A247))</f>
        <v/>
      </c>
      <c r="V247" s="6" t="n"/>
      <c r="Y247" s="7" t="b">
        <v>0</v>
      </c>
      <c r="Z247" s="6" t="n"/>
    </row>
    <row r="248">
      <c r="C248" s="6" t="n"/>
      <c r="E248" s="7" t="n"/>
      <c r="J248" s="8">
        <f>IF($I248="","",IFERROR(VLOOKUP($I248,Listas!$A$2:$B$100,2,FALSE),"—"))</f>
        <v/>
      </c>
      <c r="M248" s="7" t="b">
        <v>0</v>
      </c>
      <c r="N248" s="6" t="n"/>
      <c r="O248" s="9">
        <f>IF($N248="","",WORKDAY($N248,5,Listas!$O$2:$O$200))</f>
        <v/>
      </c>
      <c r="P248" s="10">
        <f>IF($O248="","",IF($O248&gt;=TODAY(),NETWORKDAYS(TODAY(),$O248,Listas!$O$2:$O$200)-1,NETWORKDAYS(TODAY(),$O248,Listas!$O$2:$O$200)+1))</f>
        <v/>
      </c>
      <c r="Q248" s="11">
        <f>IF($O248="","",IF($R248="Finalizado","Concluído",IF($R248="Usuário desistiu","Encerrado",IF($P248&lt;0,"Atrasado",IF($P248=0,"Vence hoje","No prazo")))))</f>
        <v/>
      </c>
      <c r="S248" s="7" t="b">
        <v>0</v>
      </c>
      <c r="T248" s="6" t="n"/>
      <c r="U248" s="12">
        <f>IF(COUNTIF(Checklist!$A$2:$A$3000,$A248)=0,"",COUNTIFS(Checklist!$A$2:$A$3000,$A248,Checklist!$C$2:$C$3000,TRUE)/COUNTIF(Checklist!$A$2:$A$3000,$A248))</f>
        <v/>
      </c>
      <c r="V248" s="6" t="n"/>
      <c r="Y248" s="7" t="b">
        <v>0</v>
      </c>
      <c r="Z248" s="6" t="n"/>
    </row>
    <row r="249">
      <c r="C249" s="6" t="n"/>
      <c r="E249" s="7" t="n"/>
      <c r="J249" s="8">
        <f>IF($I249="","",IFERROR(VLOOKUP($I249,Listas!$A$2:$B$100,2,FALSE),"—"))</f>
        <v/>
      </c>
      <c r="M249" s="7" t="b">
        <v>0</v>
      </c>
      <c r="N249" s="6" t="n"/>
      <c r="O249" s="9">
        <f>IF($N249="","",WORKDAY($N249,5,Listas!$O$2:$O$200))</f>
        <v/>
      </c>
      <c r="P249" s="10">
        <f>IF($O249="","",IF($O249&gt;=TODAY(),NETWORKDAYS(TODAY(),$O249,Listas!$O$2:$O$200)-1,NETWORKDAYS(TODAY(),$O249,Listas!$O$2:$O$200)+1))</f>
        <v/>
      </c>
      <c r="Q249" s="11">
        <f>IF($O249="","",IF($R249="Finalizado","Concluído",IF($R249="Usuário desistiu","Encerrado",IF($P249&lt;0,"Atrasado",IF($P249=0,"Vence hoje","No prazo")))))</f>
        <v/>
      </c>
      <c r="S249" s="7" t="b">
        <v>0</v>
      </c>
      <c r="T249" s="6" t="n"/>
      <c r="U249" s="12">
        <f>IF(COUNTIF(Checklist!$A$2:$A$3000,$A249)=0,"",COUNTIFS(Checklist!$A$2:$A$3000,$A249,Checklist!$C$2:$C$3000,TRUE)/COUNTIF(Checklist!$A$2:$A$3000,$A249))</f>
        <v/>
      </c>
      <c r="V249" s="6" t="n"/>
      <c r="Y249" s="7" t="b">
        <v>0</v>
      </c>
      <c r="Z249" s="6" t="n"/>
    </row>
    <row r="250">
      <c r="C250" s="6" t="n"/>
      <c r="E250" s="7" t="n"/>
      <c r="J250" s="8">
        <f>IF($I250="","",IFERROR(VLOOKUP($I250,Listas!$A$2:$B$100,2,FALSE),"—"))</f>
        <v/>
      </c>
      <c r="M250" s="7" t="b">
        <v>0</v>
      </c>
      <c r="N250" s="6" t="n"/>
      <c r="O250" s="9">
        <f>IF($N250="","",WORKDAY($N250,5,Listas!$O$2:$O$200))</f>
        <v/>
      </c>
      <c r="P250" s="10">
        <f>IF($O250="","",IF($O250&gt;=TODAY(),NETWORKDAYS(TODAY(),$O250,Listas!$O$2:$O$200)-1,NETWORKDAYS(TODAY(),$O250,Listas!$O$2:$O$200)+1))</f>
        <v/>
      </c>
      <c r="Q250" s="11">
        <f>IF($O250="","",IF($R250="Finalizado","Concluído",IF($R250="Usuário desistiu","Encerrado",IF($P250&lt;0,"Atrasado",IF($P250=0,"Vence hoje","No prazo")))))</f>
        <v/>
      </c>
      <c r="S250" s="7" t="b">
        <v>0</v>
      </c>
      <c r="T250" s="6" t="n"/>
      <c r="U250" s="12">
        <f>IF(COUNTIF(Checklist!$A$2:$A$3000,$A250)=0,"",COUNTIFS(Checklist!$A$2:$A$3000,$A250,Checklist!$C$2:$C$3000,TRUE)/COUNTIF(Checklist!$A$2:$A$3000,$A250))</f>
        <v/>
      </c>
      <c r="V250" s="6" t="n"/>
      <c r="Y250" s="7" t="b">
        <v>0</v>
      </c>
      <c r="Z250" s="6" t="n"/>
    </row>
    <row r="251">
      <c r="C251" s="6" t="n"/>
      <c r="E251" s="7" t="n"/>
      <c r="J251" s="8">
        <f>IF($I251="","",IFERROR(VLOOKUP($I251,Listas!$A$2:$B$100,2,FALSE),"—"))</f>
        <v/>
      </c>
      <c r="M251" s="7" t="b">
        <v>0</v>
      </c>
      <c r="N251" s="6" t="n"/>
      <c r="O251" s="9">
        <f>IF($N251="","",WORKDAY($N251,5,Listas!$O$2:$O$200))</f>
        <v/>
      </c>
      <c r="P251" s="10">
        <f>IF($O251="","",IF($O251&gt;=TODAY(),NETWORKDAYS(TODAY(),$O251,Listas!$O$2:$O$200)-1,NETWORKDAYS(TODAY(),$O251,Listas!$O$2:$O$200)+1))</f>
        <v/>
      </c>
      <c r="Q251" s="11">
        <f>IF($O251="","",IF($R251="Finalizado","Concluído",IF($R251="Usuário desistiu","Encerrado",IF($P251&lt;0,"Atrasado",IF($P251=0,"Vence hoje","No prazo")))))</f>
        <v/>
      </c>
      <c r="S251" s="7" t="b">
        <v>0</v>
      </c>
      <c r="T251" s="6" t="n"/>
      <c r="U251" s="12">
        <f>IF(COUNTIF(Checklist!$A$2:$A$3000,$A251)=0,"",COUNTIFS(Checklist!$A$2:$A$3000,$A251,Checklist!$C$2:$C$3000,TRUE)/COUNTIF(Checklist!$A$2:$A$3000,$A251))</f>
        <v/>
      </c>
      <c r="V251" s="6" t="n"/>
      <c r="Y251" s="7" t="b">
        <v>0</v>
      </c>
      <c r="Z251" s="6" t="n"/>
    </row>
    <row r="252">
      <c r="C252" s="6" t="n"/>
      <c r="E252" s="7" t="n"/>
      <c r="J252" s="8">
        <f>IF($I252="","",IFERROR(VLOOKUP($I252,Listas!$A$2:$B$100,2,FALSE),"—"))</f>
        <v/>
      </c>
      <c r="M252" s="7" t="b">
        <v>0</v>
      </c>
      <c r="N252" s="6" t="n"/>
      <c r="O252" s="9">
        <f>IF($N252="","",WORKDAY($N252,5,Listas!$O$2:$O$200))</f>
        <v/>
      </c>
      <c r="P252" s="10">
        <f>IF($O252="","",IF($O252&gt;=TODAY(),NETWORKDAYS(TODAY(),$O252,Listas!$O$2:$O$200)-1,NETWORKDAYS(TODAY(),$O252,Listas!$O$2:$O$200)+1))</f>
        <v/>
      </c>
      <c r="Q252" s="11">
        <f>IF($O252="","",IF($R252="Finalizado","Concluído",IF($R252="Usuário desistiu","Encerrado",IF($P252&lt;0,"Atrasado",IF($P252=0,"Vence hoje","No prazo")))))</f>
        <v/>
      </c>
      <c r="S252" s="7" t="b">
        <v>0</v>
      </c>
      <c r="T252" s="6" t="n"/>
      <c r="U252" s="12">
        <f>IF(COUNTIF(Checklist!$A$2:$A$3000,$A252)=0,"",COUNTIFS(Checklist!$A$2:$A$3000,$A252,Checklist!$C$2:$C$3000,TRUE)/COUNTIF(Checklist!$A$2:$A$3000,$A252))</f>
        <v/>
      </c>
      <c r="V252" s="6" t="n"/>
      <c r="Y252" s="7" t="b">
        <v>0</v>
      </c>
      <c r="Z252" s="6" t="n"/>
    </row>
    <row r="253">
      <c r="C253" s="6" t="n"/>
      <c r="E253" s="7" t="n"/>
      <c r="J253" s="8">
        <f>IF($I253="","",IFERROR(VLOOKUP($I253,Listas!$A$2:$B$100,2,FALSE),"—"))</f>
        <v/>
      </c>
      <c r="M253" s="7" t="b">
        <v>0</v>
      </c>
      <c r="N253" s="6" t="n"/>
      <c r="O253" s="9">
        <f>IF($N253="","",WORKDAY($N253,5,Listas!$O$2:$O$200))</f>
        <v/>
      </c>
      <c r="P253" s="10">
        <f>IF($O253="","",IF($O253&gt;=TODAY(),NETWORKDAYS(TODAY(),$O253,Listas!$O$2:$O$200)-1,NETWORKDAYS(TODAY(),$O253,Listas!$O$2:$O$200)+1))</f>
        <v/>
      </c>
      <c r="Q253" s="11">
        <f>IF($O253="","",IF($R253="Finalizado","Concluído",IF($R253="Usuário desistiu","Encerrado",IF($P253&lt;0,"Atrasado",IF($P253=0,"Vence hoje","No prazo")))))</f>
        <v/>
      </c>
      <c r="S253" s="7" t="b">
        <v>0</v>
      </c>
      <c r="T253" s="6" t="n"/>
      <c r="U253" s="12">
        <f>IF(COUNTIF(Checklist!$A$2:$A$3000,$A253)=0,"",COUNTIFS(Checklist!$A$2:$A$3000,$A253,Checklist!$C$2:$C$3000,TRUE)/COUNTIF(Checklist!$A$2:$A$3000,$A253))</f>
        <v/>
      </c>
      <c r="V253" s="6" t="n"/>
      <c r="Y253" s="7" t="b">
        <v>0</v>
      </c>
      <c r="Z253" s="6" t="n"/>
    </row>
    <row r="254">
      <c r="C254" s="6" t="n"/>
      <c r="E254" s="7" t="n"/>
      <c r="J254" s="8">
        <f>IF($I254="","",IFERROR(VLOOKUP($I254,Listas!$A$2:$B$100,2,FALSE),"—"))</f>
        <v/>
      </c>
      <c r="M254" s="7" t="b">
        <v>0</v>
      </c>
      <c r="N254" s="6" t="n"/>
      <c r="O254" s="9">
        <f>IF($N254="","",WORKDAY($N254,5,Listas!$O$2:$O$200))</f>
        <v/>
      </c>
      <c r="P254" s="10">
        <f>IF($O254="","",IF($O254&gt;=TODAY(),NETWORKDAYS(TODAY(),$O254,Listas!$O$2:$O$200)-1,NETWORKDAYS(TODAY(),$O254,Listas!$O$2:$O$200)+1))</f>
        <v/>
      </c>
      <c r="Q254" s="11">
        <f>IF($O254="","",IF($R254="Finalizado","Concluído",IF($R254="Usuário desistiu","Encerrado",IF($P254&lt;0,"Atrasado",IF($P254=0,"Vence hoje","No prazo")))))</f>
        <v/>
      </c>
      <c r="S254" s="7" t="b">
        <v>0</v>
      </c>
      <c r="T254" s="6" t="n"/>
      <c r="U254" s="12">
        <f>IF(COUNTIF(Checklist!$A$2:$A$3000,$A254)=0,"",COUNTIFS(Checklist!$A$2:$A$3000,$A254,Checklist!$C$2:$C$3000,TRUE)/COUNTIF(Checklist!$A$2:$A$3000,$A254))</f>
        <v/>
      </c>
      <c r="V254" s="6" t="n"/>
      <c r="Y254" s="7" t="b">
        <v>0</v>
      </c>
      <c r="Z254" s="6" t="n"/>
    </row>
    <row r="255">
      <c r="C255" s="6" t="n"/>
      <c r="E255" s="7" t="n"/>
      <c r="J255" s="8">
        <f>IF($I255="","",IFERROR(VLOOKUP($I255,Listas!$A$2:$B$100,2,FALSE),"—"))</f>
        <v/>
      </c>
      <c r="M255" s="7" t="b">
        <v>0</v>
      </c>
      <c r="N255" s="6" t="n"/>
      <c r="O255" s="9">
        <f>IF($N255="","",WORKDAY($N255,5,Listas!$O$2:$O$200))</f>
        <v/>
      </c>
      <c r="P255" s="10">
        <f>IF($O255="","",IF($O255&gt;=TODAY(),NETWORKDAYS(TODAY(),$O255,Listas!$O$2:$O$200)-1,NETWORKDAYS(TODAY(),$O255,Listas!$O$2:$O$200)+1))</f>
        <v/>
      </c>
      <c r="Q255" s="11">
        <f>IF($O255="","",IF($R255="Finalizado","Concluído",IF($R255="Usuário desistiu","Encerrado",IF($P255&lt;0,"Atrasado",IF($P255=0,"Vence hoje","No prazo")))))</f>
        <v/>
      </c>
      <c r="S255" s="7" t="b">
        <v>0</v>
      </c>
      <c r="T255" s="6" t="n"/>
      <c r="U255" s="12">
        <f>IF(COUNTIF(Checklist!$A$2:$A$3000,$A255)=0,"",COUNTIFS(Checklist!$A$2:$A$3000,$A255,Checklist!$C$2:$C$3000,TRUE)/COUNTIF(Checklist!$A$2:$A$3000,$A255))</f>
        <v/>
      </c>
      <c r="V255" s="6" t="n"/>
      <c r="Y255" s="7" t="b">
        <v>0</v>
      </c>
      <c r="Z255" s="6" t="n"/>
    </row>
    <row r="256">
      <c r="C256" s="6" t="n"/>
      <c r="E256" s="7" t="n"/>
      <c r="J256" s="8">
        <f>IF($I256="","",IFERROR(VLOOKUP($I256,Listas!$A$2:$B$100,2,FALSE),"—"))</f>
        <v/>
      </c>
      <c r="M256" s="7" t="b">
        <v>0</v>
      </c>
      <c r="N256" s="6" t="n"/>
      <c r="O256" s="9">
        <f>IF($N256="","",WORKDAY($N256,5,Listas!$O$2:$O$200))</f>
        <v/>
      </c>
      <c r="P256" s="10">
        <f>IF($O256="","",IF($O256&gt;=TODAY(),NETWORKDAYS(TODAY(),$O256,Listas!$O$2:$O$200)-1,NETWORKDAYS(TODAY(),$O256,Listas!$O$2:$O$200)+1))</f>
        <v/>
      </c>
      <c r="Q256" s="11">
        <f>IF($O256="","",IF($R256="Finalizado","Concluído",IF($R256="Usuário desistiu","Encerrado",IF($P256&lt;0,"Atrasado",IF($P256=0,"Vence hoje","No prazo")))))</f>
        <v/>
      </c>
      <c r="S256" s="7" t="b">
        <v>0</v>
      </c>
      <c r="T256" s="6" t="n"/>
      <c r="U256" s="12">
        <f>IF(COUNTIF(Checklist!$A$2:$A$3000,$A256)=0,"",COUNTIFS(Checklist!$A$2:$A$3000,$A256,Checklist!$C$2:$C$3000,TRUE)/COUNTIF(Checklist!$A$2:$A$3000,$A256))</f>
        <v/>
      </c>
      <c r="V256" s="6" t="n"/>
      <c r="Y256" s="7" t="b">
        <v>0</v>
      </c>
      <c r="Z256" s="6" t="n"/>
    </row>
    <row r="257">
      <c r="C257" s="6" t="n"/>
      <c r="E257" s="7" t="n"/>
      <c r="J257" s="8">
        <f>IF($I257="","",IFERROR(VLOOKUP($I257,Listas!$A$2:$B$100,2,FALSE),"—"))</f>
        <v/>
      </c>
      <c r="M257" s="7" t="b">
        <v>0</v>
      </c>
      <c r="N257" s="6" t="n"/>
      <c r="O257" s="9">
        <f>IF($N257="","",WORKDAY($N257,5,Listas!$O$2:$O$200))</f>
        <v/>
      </c>
      <c r="P257" s="10">
        <f>IF($O257="","",IF($O257&gt;=TODAY(),NETWORKDAYS(TODAY(),$O257,Listas!$O$2:$O$200)-1,NETWORKDAYS(TODAY(),$O257,Listas!$O$2:$O$200)+1))</f>
        <v/>
      </c>
      <c r="Q257" s="11">
        <f>IF($O257="","",IF($R257="Finalizado","Concluído",IF($R257="Usuário desistiu","Encerrado",IF($P257&lt;0,"Atrasado",IF($P257=0,"Vence hoje","No prazo")))))</f>
        <v/>
      </c>
      <c r="S257" s="7" t="b">
        <v>0</v>
      </c>
      <c r="T257" s="6" t="n"/>
      <c r="U257" s="12">
        <f>IF(COUNTIF(Checklist!$A$2:$A$3000,$A257)=0,"",COUNTIFS(Checklist!$A$2:$A$3000,$A257,Checklist!$C$2:$C$3000,TRUE)/COUNTIF(Checklist!$A$2:$A$3000,$A257))</f>
        <v/>
      </c>
      <c r="V257" s="6" t="n"/>
      <c r="Y257" s="7" t="b">
        <v>0</v>
      </c>
      <c r="Z257" s="6" t="n"/>
    </row>
    <row r="258">
      <c r="C258" s="6" t="n"/>
      <c r="E258" s="7" t="n"/>
      <c r="J258" s="8">
        <f>IF($I258="","",IFERROR(VLOOKUP($I258,Listas!$A$2:$B$100,2,FALSE),"—"))</f>
        <v/>
      </c>
      <c r="M258" s="7" t="b">
        <v>0</v>
      </c>
      <c r="N258" s="6" t="n"/>
      <c r="O258" s="9">
        <f>IF($N258="","",WORKDAY($N258,5,Listas!$O$2:$O$200))</f>
        <v/>
      </c>
      <c r="P258" s="10">
        <f>IF($O258="","",IF($O258&gt;=TODAY(),NETWORKDAYS(TODAY(),$O258,Listas!$O$2:$O$200)-1,NETWORKDAYS(TODAY(),$O258,Listas!$O$2:$O$200)+1))</f>
        <v/>
      </c>
      <c r="Q258" s="11">
        <f>IF($O258="","",IF($R258="Finalizado","Concluído",IF($R258="Usuário desistiu","Encerrado",IF($P258&lt;0,"Atrasado",IF($P258=0,"Vence hoje","No prazo")))))</f>
        <v/>
      </c>
      <c r="S258" s="7" t="b">
        <v>0</v>
      </c>
      <c r="T258" s="6" t="n"/>
      <c r="U258" s="12">
        <f>IF(COUNTIF(Checklist!$A$2:$A$3000,$A258)=0,"",COUNTIFS(Checklist!$A$2:$A$3000,$A258,Checklist!$C$2:$C$3000,TRUE)/COUNTIF(Checklist!$A$2:$A$3000,$A258))</f>
        <v/>
      </c>
      <c r="V258" s="6" t="n"/>
      <c r="Y258" s="7" t="b">
        <v>0</v>
      </c>
      <c r="Z258" s="6" t="n"/>
    </row>
    <row r="259">
      <c r="C259" s="6" t="n"/>
      <c r="E259" s="7" t="n"/>
      <c r="J259" s="8">
        <f>IF($I259="","",IFERROR(VLOOKUP($I259,Listas!$A$2:$B$100,2,FALSE),"—"))</f>
        <v/>
      </c>
      <c r="M259" s="7" t="b">
        <v>0</v>
      </c>
      <c r="N259" s="6" t="n"/>
      <c r="O259" s="9">
        <f>IF($N259="","",WORKDAY($N259,5,Listas!$O$2:$O$200))</f>
        <v/>
      </c>
      <c r="P259" s="10">
        <f>IF($O259="","",IF($O259&gt;=TODAY(),NETWORKDAYS(TODAY(),$O259,Listas!$O$2:$O$200)-1,NETWORKDAYS(TODAY(),$O259,Listas!$O$2:$O$200)+1))</f>
        <v/>
      </c>
      <c r="Q259" s="11">
        <f>IF($O259="","",IF($R259="Finalizado","Concluído",IF($R259="Usuário desistiu","Encerrado",IF($P259&lt;0,"Atrasado",IF($P259=0,"Vence hoje","No prazo")))))</f>
        <v/>
      </c>
      <c r="S259" s="7" t="b">
        <v>0</v>
      </c>
      <c r="T259" s="6" t="n"/>
      <c r="U259" s="12">
        <f>IF(COUNTIF(Checklist!$A$2:$A$3000,$A259)=0,"",COUNTIFS(Checklist!$A$2:$A$3000,$A259,Checklist!$C$2:$C$3000,TRUE)/COUNTIF(Checklist!$A$2:$A$3000,$A259))</f>
        <v/>
      </c>
      <c r="V259" s="6" t="n"/>
      <c r="Y259" s="7" t="b">
        <v>0</v>
      </c>
      <c r="Z259" s="6" t="n"/>
    </row>
    <row r="260">
      <c r="C260" s="6" t="n"/>
      <c r="E260" s="7" t="n"/>
      <c r="J260" s="8">
        <f>IF($I260="","",IFERROR(VLOOKUP($I260,Listas!$A$2:$B$100,2,FALSE),"—"))</f>
        <v/>
      </c>
      <c r="M260" s="7" t="b">
        <v>0</v>
      </c>
      <c r="N260" s="6" t="n"/>
      <c r="O260" s="9">
        <f>IF($N260="","",WORKDAY($N260,5,Listas!$O$2:$O$200))</f>
        <v/>
      </c>
      <c r="P260" s="10">
        <f>IF($O260="","",IF($O260&gt;=TODAY(),NETWORKDAYS(TODAY(),$O260,Listas!$O$2:$O$200)-1,NETWORKDAYS(TODAY(),$O260,Listas!$O$2:$O$200)+1))</f>
        <v/>
      </c>
      <c r="Q260" s="11">
        <f>IF($O260="","",IF($R260="Finalizado","Concluído",IF($R260="Usuário desistiu","Encerrado",IF($P260&lt;0,"Atrasado",IF($P260=0,"Vence hoje","No prazo")))))</f>
        <v/>
      </c>
      <c r="S260" s="7" t="b">
        <v>0</v>
      </c>
      <c r="T260" s="6" t="n"/>
      <c r="U260" s="12">
        <f>IF(COUNTIF(Checklist!$A$2:$A$3000,$A260)=0,"",COUNTIFS(Checklist!$A$2:$A$3000,$A260,Checklist!$C$2:$C$3000,TRUE)/COUNTIF(Checklist!$A$2:$A$3000,$A260))</f>
        <v/>
      </c>
      <c r="V260" s="6" t="n"/>
      <c r="Y260" s="7" t="b">
        <v>0</v>
      </c>
      <c r="Z260" s="6" t="n"/>
    </row>
    <row r="261">
      <c r="C261" s="6" t="n"/>
      <c r="E261" s="7" t="n"/>
      <c r="J261" s="8">
        <f>IF($I261="","",IFERROR(VLOOKUP($I261,Listas!$A$2:$B$100,2,FALSE),"—"))</f>
        <v/>
      </c>
      <c r="M261" s="7" t="b">
        <v>0</v>
      </c>
      <c r="N261" s="6" t="n"/>
      <c r="O261" s="9">
        <f>IF($N261="","",WORKDAY($N261,5,Listas!$O$2:$O$200))</f>
        <v/>
      </c>
      <c r="P261" s="10">
        <f>IF($O261="","",IF($O261&gt;=TODAY(),NETWORKDAYS(TODAY(),$O261,Listas!$O$2:$O$200)-1,NETWORKDAYS(TODAY(),$O261,Listas!$O$2:$O$200)+1))</f>
        <v/>
      </c>
      <c r="Q261" s="11">
        <f>IF($O261="","",IF($R261="Finalizado","Concluído",IF($R261="Usuário desistiu","Encerrado",IF($P261&lt;0,"Atrasado",IF($P261=0,"Vence hoje","No prazo")))))</f>
        <v/>
      </c>
      <c r="S261" s="7" t="b">
        <v>0</v>
      </c>
      <c r="T261" s="6" t="n"/>
      <c r="U261" s="12">
        <f>IF(COUNTIF(Checklist!$A$2:$A$3000,$A261)=0,"",COUNTIFS(Checklist!$A$2:$A$3000,$A261,Checklist!$C$2:$C$3000,TRUE)/COUNTIF(Checklist!$A$2:$A$3000,$A261))</f>
        <v/>
      </c>
      <c r="V261" s="6" t="n"/>
      <c r="Y261" s="7" t="b">
        <v>0</v>
      </c>
      <c r="Z261" s="6" t="n"/>
    </row>
    <row r="262">
      <c r="C262" s="6" t="n"/>
      <c r="E262" s="7" t="n"/>
      <c r="J262" s="8">
        <f>IF($I262="","",IFERROR(VLOOKUP($I262,Listas!$A$2:$B$100,2,FALSE),"—"))</f>
        <v/>
      </c>
      <c r="M262" s="7" t="b">
        <v>0</v>
      </c>
      <c r="N262" s="6" t="n"/>
      <c r="O262" s="9">
        <f>IF($N262="","",WORKDAY($N262,5,Listas!$O$2:$O$200))</f>
        <v/>
      </c>
      <c r="P262" s="10">
        <f>IF($O262="","",IF($O262&gt;=TODAY(),NETWORKDAYS(TODAY(),$O262,Listas!$O$2:$O$200)-1,NETWORKDAYS(TODAY(),$O262,Listas!$O$2:$O$200)+1))</f>
        <v/>
      </c>
      <c r="Q262" s="11">
        <f>IF($O262="","",IF($R262="Finalizado","Concluído",IF($R262="Usuário desistiu","Encerrado",IF($P262&lt;0,"Atrasado",IF($P262=0,"Vence hoje","No prazo")))))</f>
        <v/>
      </c>
      <c r="S262" s="7" t="b">
        <v>0</v>
      </c>
      <c r="T262" s="6" t="n"/>
      <c r="U262" s="12">
        <f>IF(COUNTIF(Checklist!$A$2:$A$3000,$A262)=0,"",COUNTIFS(Checklist!$A$2:$A$3000,$A262,Checklist!$C$2:$C$3000,TRUE)/COUNTIF(Checklist!$A$2:$A$3000,$A262))</f>
        <v/>
      </c>
      <c r="V262" s="6" t="n"/>
      <c r="Y262" s="7" t="b">
        <v>0</v>
      </c>
      <c r="Z262" s="6" t="n"/>
    </row>
    <row r="263">
      <c r="C263" s="6" t="n"/>
      <c r="E263" s="7" t="n"/>
      <c r="J263" s="8">
        <f>IF($I263="","",IFERROR(VLOOKUP($I263,Listas!$A$2:$B$100,2,FALSE),"—"))</f>
        <v/>
      </c>
      <c r="M263" s="7" t="b">
        <v>0</v>
      </c>
      <c r="N263" s="6" t="n"/>
      <c r="O263" s="9">
        <f>IF($N263="","",WORKDAY($N263,5,Listas!$O$2:$O$200))</f>
        <v/>
      </c>
      <c r="P263" s="10">
        <f>IF($O263="","",IF($O263&gt;=TODAY(),NETWORKDAYS(TODAY(),$O263,Listas!$O$2:$O$200)-1,NETWORKDAYS(TODAY(),$O263,Listas!$O$2:$O$200)+1))</f>
        <v/>
      </c>
      <c r="Q263" s="11">
        <f>IF($O263="","",IF($R263="Finalizado","Concluído",IF($R263="Usuário desistiu","Encerrado",IF($P263&lt;0,"Atrasado",IF($P263=0,"Vence hoje","No prazo")))))</f>
        <v/>
      </c>
      <c r="S263" s="7" t="b">
        <v>0</v>
      </c>
      <c r="T263" s="6" t="n"/>
      <c r="U263" s="12">
        <f>IF(COUNTIF(Checklist!$A$2:$A$3000,$A263)=0,"",COUNTIFS(Checklist!$A$2:$A$3000,$A263,Checklist!$C$2:$C$3000,TRUE)/COUNTIF(Checklist!$A$2:$A$3000,$A263))</f>
        <v/>
      </c>
      <c r="V263" s="6" t="n"/>
      <c r="Y263" s="7" t="b">
        <v>0</v>
      </c>
      <c r="Z263" s="6" t="n"/>
    </row>
    <row r="264">
      <c r="C264" s="6" t="n"/>
      <c r="E264" s="7" t="n"/>
      <c r="J264" s="8">
        <f>IF($I264="","",IFERROR(VLOOKUP($I264,Listas!$A$2:$B$100,2,FALSE),"—"))</f>
        <v/>
      </c>
      <c r="M264" s="7" t="b">
        <v>0</v>
      </c>
      <c r="N264" s="6" t="n"/>
      <c r="O264" s="9">
        <f>IF($N264="","",WORKDAY($N264,5,Listas!$O$2:$O$200))</f>
        <v/>
      </c>
      <c r="P264" s="10">
        <f>IF($O264="","",IF($O264&gt;=TODAY(),NETWORKDAYS(TODAY(),$O264,Listas!$O$2:$O$200)-1,NETWORKDAYS(TODAY(),$O264,Listas!$O$2:$O$200)+1))</f>
        <v/>
      </c>
      <c r="Q264" s="11">
        <f>IF($O264="","",IF($R264="Finalizado","Concluído",IF($R264="Usuário desistiu","Encerrado",IF($P264&lt;0,"Atrasado",IF($P264=0,"Vence hoje","No prazo")))))</f>
        <v/>
      </c>
      <c r="S264" s="7" t="b">
        <v>0</v>
      </c>
      <c r="T264" s="6" t="n"/>
      <c r="U264" s="12">
        <f>IF(COUNTIF(Checklist!$A$2:$A$3000,$A264)=0,"",COUNTIFS(Checklist!$A$2:$A$3000,$A264,Checklist!$C$2:$C$3000,TRUE)/COUNTIF(Checklist!$A$2:$A$3000,$A264))</f>
        <v/>
      </c>
      <c r="V264" s="6" t="n"/>
      <c r="Y264" s="7" t="b">
        <v>0</v>
      </c>
      <c r="Z264" s="6" t="n"/>
    </row>
    <row r="265">
      <c r="C265" s="6" t="n"/>
      <c r="E265" s="7" t="n"/>
      <c r="J265" s="8">
        <f>IF($I265="","",IFERROR(VLOOKUP($I265,Listas!$A$2:$B$100,2,FALSE),"—"))</f>
        <v/>
      </c>
      <c r="M265" s="7" t="b">
        <v>0</v>
      </c>
      <c r="N265" s="6" t="n"/>
      <c r="O265" s="9">
        <f>IF($N265="","",WORKDAY($N265,5,Listas!$O$2:$O$200))</f>
        <v/>
      </c>
      <c r="P265" s="10">
        <f>IF($O265="","",IF($O265&gt;=TODAY(),NETWORKDAYS(TODAY(),$O265,Listas!$O$2:$O$200)-1,NETWORKDAYS(TODAY(),$O265,Listas!$O$2:$O$200)+1))</f>
        <v/>
      </c>
      <c r="Q265" s="11">
        <f>IF($O265="","",IF($R265="Finalizado","Concluído",IF($R265="Usuário desistiu","Encerrado",IF($P265&lt;0,"Atrasado",IF($P265=0,"Vence hoje","No prazo")))))</f>
        <v/>
      </c>
      <c r="S265" s="7" t="b">
        <v>0</v>
      </c>
      <c r="T265" s="6" t="n"/>
      <c r="U265" s="12">
        <f>IF(COUNTIF(Checklist!$A$2:$A$3000,$A265)=0,"",COUNTIFS(Checklist!$A$2:$A$3000,$A265,Checklist!$C$2:$C$3000,TRUE)/COUNTIF(Checklist!$A$2:$A$3000,$A265))</f>
        <v/>
      </c>
      <c r="V265" s="6" t="n"/>
      <c r="Y265" s="7" t="b">
        <v>0</v>
      </c>
      <c r="Z265" s="6" t="n"/>
    </row>
    <row r="266">
      <c r="C266" s="6" t="n"/>
      <c r="E266" s="7" t="n"/>
      <c r="J266" s="8">
        <f>IF($I266="","",IFERROR(VLOOKUP($I266,Listas!$A$2:$B$100,2,FALSE),"—"))</f>
        <v/>
      </c>
      <c r="M266" s="7" t="b">
        <v>0</v>
      </c>
      <c r="N266" s="6" t="n"/>
      <c r="O266" s="9">
        <f>IF($N266="","",WORKDAY($N266,5,Listas!$O$2:$O$200))</f>
        <v/>
      </c>
      <c r="P266" s="10">
        <f>IF($O266="","",IF($O266&gt;=TODAY(),NETWORKDAYS(TODAY(),$O266,Listas!$O$2:$O$200)-1,NETWORKDAYS(TODAY(),$O266,Listas!$O$2:$O$200)+1))</f>
        <v/>
      </c>
      <c r="Q266" s="11">
        <f>IF($O266="","",IF($R266="Finalizado","Concluído",IF($R266="Usuário desistiu","Encerrado",IF($P266&lt;0,"Atrasado",IF($P266=0,"Vence hoje","No prazo")))))</f>
        <v/>
      </c>
      <c r="S266" s="7" t="b">
        <v>0</v>
      </c>
      <c r="T266" s="6" t="n"/>
      <c r="U266" s="12">
        <f>IF(COUNTIF(Checklist!$A$2:$A$3000,$A266)=0,"",COUNTIFS(Checklist!$A$2:$A$3000,$A266,Checklist!$C$2:$C$3000,TRUE)/COUNTIF(Checklist!$A$2:$A$3000,$A266))</f>
        <v/>
      </c>
      <c r="V266" s="6" t="n"/>
      <c r="Y266" s="7" t="b">
        <v>0</v>
      </c>
      <c r="Z266" s="6" t="n"/>
    </row>
    <row r="267">
      <c r="C267" s="6" t="n"/>
      <c r="E267" s="7" t="n"/>
      <c r="J267" s="8">
        <f>IF($I267="","",IFERROR(VLOOKUP($I267,Listas!$A$2:$B$100,2,FALSE),"—"))</f>
        <v/>
      </c>
      <c r="M267" s="7" t="b">
        <v>0</v>
      </c>
      <c r="N267" s="6" t="n"/>
      <c r="O267" s="9">
        <f>IF($N267="","",WORKDAY($N267,5,Listas!$O$2:$O$200))</f>
        <v/>
      </c>
      <c r="P267" s="10">
        <f>IF($O267="","",IF($O267&gt;=TODAY(),NETWORKDAYS(TODAY(),$O267,Listas!$O$2:$O$200)-1,NETWORKDAYS(TODAY(),$O267,Listas!$O$2:$O$200)+1))</f>
        <v/>
      </c>
      <c r="Q267" s="11">
        <f>IF($O267="","",IF($R267="Finalizado","Concluído",IF($R267="Usuário desistiu","Encerrado",IF($P267&lt;0,"Atrasado",IF($P267=0,"Vence hoje","No prazo")))))</f>
        <v/>
      </c>
      <c r="S267" s="7" t="b">
        <v>0</v>
      </c>
      <c r="T267" s="6" t="n"/>
      <c r="U267" s="12">
        <f>IF(COUNTIF(Checklist!$A$2:$A$3000,$A267)=0,"",COUNTIFS(Checklist!$A$2:$A$3000,$A267,Checklist!$C$2:$C$3000,TRUE)/COUNTIF(Checklist!$A$2:$A$3000,$A267))</f>
        <v/>
      </c>
      <c r="V267" s="6" t="n"/>
      <c r="Y267" s="7" t="b">
        <v>0</v>
      </c>
      <c r="Z267" s="6" t="n"/>
    </row>
    <row r="268">
      <c r="C268" s="6" t="n"/>
      <c r="E268" s="7" t="n"/>
      <c r="J268" s="8">
        <f>IF($I268="","",IFERROR(VLOOKUP($I268,Listas!$A$2:$B$100,2,FALSE),"—"))</f>
        <v/>
      </c>
      <c r="M268" s="7" t="b">
        <v>0</v>
      </c>
      <c r="N268" s="6" t="n"/>
      <c r="O268" s="9">
        <f>IF($N268="","",WORKDAY($N268,5,Listas!$O$2:$O$200))</f>
        <v/>
      </c>
      <c r="P268" s="10">
        <f>IF($O268="","",IF($O268&gt;=TODAY(),NETWORKDAYS(TODAY(),$O268,Listas!$O$2:$O$200)-1,NETWORKDAYS(TODAY(),$O268,Listas!$O$2:$O$200)+1))</f>
        <v/>
      </c>
      <c r="Q268" s="11">
        <f>IF($O268="","",IF($R268="Finalizado","Concluído",IF($R268="Usuário desistiu","Encerrado",IF($P268&lt;0,"Atrasado",IF($P268=0,"Vence hoje","No prazo")))))</f>
        <v/>
      </c>
      <c r="S268" s="7" t="b">
        <v>0</v>
      </c>
      <c r="T268" s="6" t="n"/>
      <c r="U268" s="12">
        <f>IF(COUNTIF(Checklist!$A$2:$A$3000,$A268)=0,"",COUNTIFS(Checklist!$A$2:$A$3000,$A268,Checklist!$C$2:$C$3000,TRUE)/COUNTIF(Checklist!$A$2:$A$3000,$A268))</f>
        <v/>
      </c>
      <c r="V268" s="6" t="n"/>
      <c r="Y268" s="7" t="b">
        <v>0</v>
      </c>
      <c r="Z268" s="6" t="n"/>
    </row>
    <row r="269">
      <c r="C269" s="6" t="n"/>
      <c r="E269" s="7" t="n"/>
      <c r="J269" s="8">
        <f>IF($I269="","",IFERROR(VLOOKUP($I269,Listas!$A$2:$B$100,2,FALSE),"—"))</f>
        <v/>
      </c>
      <c r="M269" s="7" t="b">
        <v>0</v>
      </c>
      <c r="N269" s="6" t="n"/>
      <c r="O269" s="9">
        <f>IF($N269="","",WORKDAY($N269,5,Listas!$O$2:$O$200))</f>
        <v/>
      </c>
      <c r="P269" s="10">
        <f>IF($O269="","",IF($O269&gt;=TODAY(),NETWORKDAYS(TODAY(),$O269,Listas!$O$2:$O$200)-1,NETWORKDAYS(TODAY(),$O269,Listas!$O$2:$O$200)+1))</f>
        <v/>
      </c>
      <c r="Q269" s="11">
        <f>IF($O269="","",IF($R269="Finalizado","Concluído",IF($R269="Usuário desistiu","Encerrado",IF($P269&lt;0,"Atrasado",IF($P269=0,"Vence hoje","No prazo")))))</f>
        <v/>
      </c>
      <c r="S269" s="7" t="b">
        <v>0</v>
      </c>
      <c r="T269" s="6" t="n"/>
      <c r="U269" s="12">
        <f>IF(COUNTIF(Checklist!$A$2:$A$3000,$A269)=0,"",COUNTIFS(Checklist!$A$2:$A$3000,$A269,Checklist!$C$2:$C$3000,TRUE)/COUNTIF(Checklist!$A$2:$A$3000,$A269))</f>
        <v/>
      </c>
      <c r="V269" s="6" t="n"/>
      <c r="Y269" s="7" t="b">
        <v>0</v>
      </c>
      <c r="Z269" s="6" t="n"/>
    </row>
    <row r="270">
      <c r="C270" s="6" t="n"/>
      <c r="E270" s="7" t="n"/>
      <c r="J270" s="8">
        <f>IF($I270="","",IFERROR(VLOOKUP($I270,Listas!$A$2:$B$100,2,FALSE),"—"))</f>
        <v/>
      </c>
      <c r="M270" s="7" t="b">
        <v>0</v>
      </c>
      <c r="N270" s="6" t="n"/>
      <c r="O270" s="9">
        <f>IF($N270="","",WORKDAY($N270,5,Listas!$O$2:$O$200))</f>
        <v/>
      </c>
      <c r="P270" s="10">
        <f>IF($O270="","",IF($O270&gt;=TODAY(),NETWORKDAYS(TODAY(),$O270,Listas!$O$2:$O$200)-1,NETWORKDAYS(TODAY(),$O270,Listas!$O$2:$O$200)+1))</f>
        <v/>
      </c>
      <c r="Q270" s="11">
        <f>IF($O270="","",IF($R270="Finalizado","Concluído",IF($R270="Usuário desistiu","Encerrado",IF($P270&lt;0,"Atrasado",IF($P270=0,"Vence hoje","No prazo")))))</f>
        <v/>
      </c>
      <c r="S270" s="7" t="b">
        <v>0</v>
      </c>
      <c r="T270" s="6" t="n"/>
      <c r="U270" s="12">
        <f>IF(COUNTIF(Checklist!$A$2:$A$3000,$A270)=0,"",COUNTIFS(Checklist!$A$2:$A$3000,$A270,Checklist!$C$2:$C$3000,TRUE)/COUNTIF(Checklist!$A$2:$A$3000,$A270))</f>
        <v/>
      </c>
      <c r="V270" s="6" t="n"/>
      <c r="Y270" s="7" t="b">
        <v>0</v>
      </c>
      <c r="Z270" s="6" t="n"/>
    </row>
    <row r="271">
      <c r="C271" s="6" t="n"/>
      <c r="E271" s="7" t="n"/>
      <c r="J271" s="8">
        <f>IF($I271="","",IFERROR(VLOOKUP($I271,Listas!$A$2:$B$100,2,FALSE),"—"))</f>
        <v/>
      </c>
      <c r="M271" s="7" t="b">
        <v>0</v>
      </c>
      <c r="N271" s="6" t="n"/>
      <c r="O271" s="9">
        <f>IF($N271="","",WORKDAY($N271,5,Listas!$O$2:$O$200))</f>
        <v/>
      </c>
      <c r="P271" s="10">
        <f>IF($O271="","",IF($O271&gt;=TODAY(),NETWORKDAYS(TODAY(),$O271,Listas!$O$2:$O$200)-1,NETWORKDAYS(TODAY(),$O271,Listas!$O$2:$O$200)+1))</f>
        <v/>
      </c>
      <c r="Q271" s="11">
        <f>IF($O271="","",IF($R271="Finalizado","Concluído",IF($R271="Usuário desistiu","Encerrado",IF($P271&lt;0,"Atrasado",IF($P271=0,"Vence hoje","No prazo")))))</f>
        <v/>
      </c>
      <c r="S271" s="7" t="b">
        <v>0</v>
      </c>
      <c r="T271" s="6" t="n"/>
      <c r="U271" s="12">
        <f>IF(COUNTIF(Checklist!$A$2:$A$3000,$A271)=0,"",COUNTIFS(Checklist!$A$2:$A$3000,$A271,Checklist!$C$2:$C$3000,TRUE)/COUNTIF(Checklist!$A$2:$A$3000,$A271))</f>
        <v/>
      </c>
      <c r="V271" s="6" t="n"/>
      <c r="Y271" s="7" t="b">
        <v>0</v>
      </c>
      <c r="Z271" s="6" t="n"/>
    </row>
    <row r="272">
      <c r="C272" s="6" t="n"/>
      <c r="E272" s="7" t="n"/>
      <c r="J272" s="8">
        <f>IF($I272="","",IFERROR(VLOOKUP($I272,Listas!$A$2:$B$100,2,FALSE),"—"))</f>
        <v/>
      </c>
      <c r="M272" s="7" t="b">
        <v>0</v>
      </c>
      <c r="N272" s="6" t="n"/>
      <c r="O272" s="9">
        <f>IF($N272="","",WORKDAY($N272,5,Listas!$O$2:$O$200))</f>
        <v/>
      </c>
      <c r="P272" s="10">
        <f>IF($O272="","",IF($O272&gt;=TODAY(),NETWORKDAYS(TODAY(),$O272,Listas!$O$2:$O$200)-1,NETWORKDAYS(TODAY(),$O272,Listas!$O$2:$O$200)+1))</f>
        <v/>
      </c>
      <c r="Q272" s="11">
        <f>IF($O272="","",IF($R272="Finalizado","Concluído",IF($R272="Usuário desistiu","Encerrado",IF($P272&lt;0,"Atrasado",IF($P272=0,"Vence hoje","No prazo")))))</f>
        <v/>
      </c>
      <c r="S272" s="7" t="b">
        <v>0</v>
      </c>
      <c r="T272" s="6" t="n"/>
      <c r="U272" s="12">
        <f>IF(COUNTIF(Checklist!$A$2:$A$3000,$A272)=0,"",COUNTIFS(Checklist!$A$2:$A$3000,$A272,Checklist!$C$2:$C$3000,TRUE)/COUNTIF(Checklist!$A$2:$A$3000,$A272))</f>
        <v/>
      </c>
      <c r="V272" s="6" t="n"/>
      <c r="Y272" s="7" t="b">
        <v>0</v>
      </c>
      <c r="Z272" s="6" t="n"/>
    </row>
    <row r="273">
      <c r="C273" s="6" t="n"/>
      <c r="E273" s="7" t="n"/>
      <c r="J273" s="8">
        <f>IF($I273="","",IFERROR(VLOOKUP($I273,Listas!$A$2:$B$100,2,FALSE),"—"))</f>
        <v/>
      </c>
      <c r="M273" s="7" t="b">
        <v>0</v>
      </c>
      <c r="N273" s="6" t="n"/>
      <c r="O273" s="9">
        <f>IF($N273="","",WORKDAY($N273,5,Listas!$O$2:$O$200))</f>
        <v/>
      </c>
      <c r="P273" s="10">
        <f>IF($O273="","",IF($O273&gt;=TODAY(),NETWORKDAYS(TODAY(),$O273,Listas!$O$2:$O$200)-1,NETWORKDAYS(TODAY(),$O273,Listas!$O$2:$O$200)+1))</f>
        <v/>
      </c>
      <c r="Q273" s="11">
        <f>IF($O273="","",IF($R273="Finalizado","Concluído",IF($R273="Usuário desistiu","Encerrado",IF($P273&lt;0,"Atrasado",IF($P273=0,"Vence hoje","No prazo")))))</f>
        <v/>
      </c>
      <c r="S273" s="7" t="b">
        <v>0</v>
      </c>
      <c r="T273" s="6" t="n"/>
      <c r="U273" s="12">
        <f>IF(COUNTIF(Checklist!$A$2:$A$3000,$A273)=0,"",COUNTIFS(Checklist!$A$2:$A$3000,$A273,Checklist!$C$2:$C$3000,TRUE)/COUNTIF(Checklist!$A$2:$A$3000,$A273))</f>
        <v/>
      </c>
      <c r="V273" s="6" t="n"/>
      <c r="Y273" s="7" t="b">
        <v>0</v>
      </c>
      <c r="Z273" s="6" t="n"/>
    </row>
    <row r="274">
      <c r="C274" s="6" t="n"/>
      <c r="E274" s="7" t="n"/>
      <c r="J274" s="8">
        <f>IF($I274="","",IFERROR(VLOOKUP($I274,Listas!$A$2:$B$100,2,FALSE),"—"))</f>
        <v/>
      </c>
      <c r="M274" s="7" t="b">
        <v>0</v>
      </c>
      <c r="N274" s="6" t="n"/>
      <c r="O274" s="9">
        <f>IF($N274="","",WORKDAY($N274,5,Listas!$O$2:$O$200))</f>
        <v/>
      </c>
      <c r="P274" s="10">
        <f>IF($O274="","",IF($O274&gt;=TODAY(),NETWORKDAYS(TODAY(),$O274,Listas!$O$2:$O$200)-1,NETWORKDAYS(TODAY(),$O274,Listas!$O$2:$O$200)+1))</f>
        <v/>
      </c>
      <c r="Q274" s="11">
        <f>IF($O274="","",IF($R274="Finalizado","Concluído",IF($R274="Usuário desistiu","Encerrado",IF($P274&lt;0,"Atrasado",IF($P274=0,"Vence hoje","No prazo")))))</f>
        <v/>
      </c>
      <c r="S274" s="7" t="b">
        <v>0</v>
      </c>
      <c r="T274" s="6" t="n"/>
      <c r="U274" s="12">
        <f>IF(COUNTIF(Checklist!$A$2:$A$3000,$A274)=0,"",COUNTIFS(Checklist!$A$2:$A$3000,$A274,Checklist!$C$2:$C$3000,TRUE)/COUNTIF(Checklist!$A$2:$A$3000,$A274))</f>
        <v/>
      </c>
      <c r="V274" s="6" t="n"/>
      <c r="Y274" s="7" t="b">
        <v>0</v>
      </c>
      <c r="Z274" s="6" t="n"/>
    </row>
    <row r="275">
      <c r="C275" s="6" t="n"/>
      <c r="E275" s="7" t="n"/>
      <c r="J275" s="8">
        <f>IF($I275="","",IFERROR(VLOOKUP($I275,Listas!$A$2:$B$100,2,FALSE),"—"))</f>
        <v/>
      </c>
      <c r="M275" s="7" t="b">
        <v>0</v>
      </c>
      <c r="N275" s="6" t="n"/>
      <c r="O275" s="9">
        <f>IF($N275="","",WORKDAY($N275,5,Listas!$O$2:$O$200))</f>
        <v/>
      </c>
      <c r="P275" s="10">
        <f>IF($O275="","",IF($O275&gt;=TODAY(),NETWORKDAYS(TODAY(),$O275,Listas!$O$2:$O$200)-1,NETWORKDAYS(TODAY(),$O275,Listas!$O$2:$O$200)+1))</f>
        <v/>
      </c>
      <c r="Q275" s="11">
        <f>IF($O275="","",IF($R275="Finalizado","Concluído",IF($R275="Usuário desistiu","Encerrado",IF($P275&lt;0,"Atrasado",IF($P275=0,"Vence hoje","No prazo")))))</f>
        <v/>
      </c>
      <c r="S275" s="7" t="b">
        <v>0</v>
      </c>
      <c r="T275" s="6" t="n"/>
      <c r="U275" s="12">
        <f>IF(COUNTIF(Checklist!$A$2:$A$3000,$A275)=0,"",COUNTIFS(Checklist!$A$2:$A$3000,$A275,Checklist!$C$2:$C$3000,TRUE)/COUNTIF(Checklist!$A$2:$A$3000,$A275))</f>
        <v/>
      </c>
      <c r="V275" s="6" t="n"/>
      <c r="Y275" s="7" t="b">
        <v>0</v>
      </c>
      <c r="Z275" s="6" t="n"/>
    </row>
    <row r="276">
      <c r="C276" s="6" t="n"/>
      <c r="E276" s="7" t="n"/>
      <c r="J276" s="8">
        <f>IF($I276="","",IFERROR(VLOOKUP($I276,Listas!$A$2:$B$100,2,FALSE),"—"))</f>
        <v/>
      </c>
      <c r="M276" s="7" t="b">
        <v>0</v>
      </c>
      <c r="N276" s="6" t="n"/>
      <c r="O276" s="9">
        <f>IF($N276="","",WORKDAY($N276,5,Listas!$O$2:$O$200))</f>
        <v/>
      </c>
      <c r="P276" s="10">
        <f>IF($O276="","",IF($O276&gt;=TODAY(),NETWORKDAYS(TODAY(),$O276,Listas!$O$2:$O$200)-1,NETWORKDAYS(TODAY(),$O276,Listas!$O$2:$O$200)+1))</f>
        <v/>
      </c>
      <c r="Q276" s="11">
        <f>IF($O276="","",IF($R276="Finalizado","Concluído",IF($R276="Usuário desistiu","Encerrado",IF($P276&lt;0,"Atrasado",IF($P276=0,"Vence hoje","No prazo")))))</f>
        <v/>
      </c>
      <c r="S276" s="7" t="b">
        <v>0</v>
      </c>
      <c r="T276" s="6" t="n"/>
      <c r="U276" s="12">
        <f>IF(COUNTIF(Checklist!$A$2:$A$3000,$A276)=0,"",COUNTIFS(Checklist!$A$2:$A$3000,$A276,Checklist!$C$2:$C$3000,TRUE)/COUNTIF(Checklist!$A$2:$A$3000,$A276))</f>
        <v/>
      </c>
      <c r="V276" s="6" t="n"/>
      <c r="Y276" s="7" t="b">
        <v>0</v>
      </c>
      <c r="Z276" s="6" t="n"/>
    </row>
    <row r="277">
      <c r="C277" s="6" t="n"/>
      <c r="E277" s="7" t="n"/>
      <c r="J277" s="8">
        <f>IF($I277="","",IFERROR(VLOOKUP($I277,Listas!$A$2:$B$100,2,FALSE),"—"))</f>
        <v/>
      </c>
      <c r="M277" s="7" t="b">
        <v>0</v>
      </c>
      <c r="N277" s="6" t="n"/>
      <c r="O277" s="9">
        <f>IF($N277="","",WORKDAY($N277,5,Listas!$O$2:$O$200))</f>
        <v/>
      </c>
      <c r="P277" s="10">
        <f>IF($O277="","",IF($O277&gt;=TODAY(),NETWORKDAYS(TODAY(),$O277,Listas!$O$2:$O$200)-1,NETWORKDAYS(TODAY(),$O277,Listas!$O$2:$O$200)+1))</f>
        <v/>
      </c>
      <c r="Q277" s="11">
        <f>IF($O277="","",IF($R277="Finalizado","Concluído",IF($R277="Usuário desistiu","Encerrado",IF($P277&lt;0,"Atrasado",IF($P277=0,"Vence hoje","No prazo")))))</f>
        <v/>
      </c>
      <c r="S277" s="7" t="b">
        <v>0</v>
      </c>
      <c r="T277" s="6" t="n"/>
      <c r="U277" s="12">
        <f>IF(COUNTIF(Checklist!$A$2:$A$3000,$A277)=0,"",COUNTIFS(Checklist!$A$2:$A$3000,$A277,Checklist!$C$2:$C$3000,TRUE)/COUNTIF(Checklist!$A$2:$A$3000,$A277))</f>
        <v/>
      </c>
      <c r="V277" s="6" t="n"/>
      <c r="Y277" s="7" t="b">
        <v>0</v>
      </c>
      <c r="Z277" s="6" t="n"/>
    </row>
    <row r="278">
      <c r="C278" s="6" t="n"/>
      <c r="E278" s="7" t="n"/>
      <c r="J278" s="8">
        <f>IF($I278="","",IFERROR(VLOOKUP($I278,Listas!$A$2:$B$100,2,FALSE),"—"))</f>
        <v/>
      </c>
      <c r="M278" s="7" t="b">
        <v>0</v>
      </c>
      <c r="N278" s="6" t="n"/>
      <c r="O278" s="9">
        <f>IF($N278="","",WORKDAY($N278,5,Listas!$O$2:$O$200))</f>
        <v/>
      </c>
      <c r="P278" s="10">
        <f>IF($O278="","",IF($O278&gt;=TODAY(),NETWORKDAYS(TODAY(),$O278,Listas!$O$2:$O$200)-1,NETWORKDAYS(TODAY(),$O278,Listas!$O$2:$O$200)+1))</f>
        <v/>
      </c>
      <c r="Q278" s="11">
        <f>IF($O278="","",IF($R278="Finalizado","Concluído",IF($R278="Usuário desistiu","Encerrado",IF($P278&lt;0,"Atrasado",IF($P278=0,"Vence hoje","No prazo")))))</f>
        <v/>
      </c>
      <c r="S278" s="7" t="b">
        <v>0</v>
      </c>
      <c r="T278" s="6" t="n"/>
      <c r="U278" s="12">
        <f>IF(COUNTIF(Checklist!$A$2:$A$3000,$A278)=0,"",COUNTIFS(Checklist!$A$2:$A$3000,$A278,Checklist!$C$2:$C$3000,TRUE)/COUNTIF(Checklist!$A$2:$A$3000,$A278))</f>
        <v/>
      </c>
      <c r="V278" s="6" t="n"/>
      <c r="Y278" s="7" t="b">
        <v>0</v>
      </c>
      <c r="Z278" s="6" t="n"/>
    </row>
    <row r="279">
      <c r="C279" s="6" t="n"/>
      <c r="E279" s="7" t="n"/>
      <c r="J279" s="8">
        <f>IF($I279="","",IFERROR(VLOOKUP($I279,Listas!$A$2:$B$100,2,FALSE),"—"))</f>
        <v/>
      </c>
      <c r="M279" s="7" t="b">
        <v>0</v>
      </c>
      <c r="N279" s="6" t="n"/>
      <c r="O279" s="9">
        <f>IF($N279="","",WORKDAY($N279,5,Listas!$O$2:$O$200))</f>
        <v/>
      </c>
      <c r="P279" s="10">
        <f>IF($O279="","",IF($O279&gt;=TODAY(),NETWORKDAYS(TODAY(),$O279,Listas!$O$2:$O$200)-1,NETWORKDAYS(TODAY(),$O279,Listas!$O$2:$O$200)+1))</f>
        <v/>
      </c>
      <c r="Q279" s="11">
        <f>IF($O279="","",IF($R279="Finalizado","Concluído",IF($R279="Usuário desistiu","Encerrado",IF($P279&lt;0,"Atrasado",IF($P279=0,"Vence hoje","No prazo")))))</f>
        <v/>
      </c>
      <c r="S279" s="7" t="b">
        <v>0</v>
      </c>
      <c r="T279" s="6" t="n"/>
      <c r="U279" s="12">
        <f>IF(COUNTIF(Checklist!$A$2:$A$3000,$A279)=0,"",COUNTIFS(Checklist!$A$2:$A$3000,$A279,Checklist!$C$2:$C$3000,TRUE)/COUNTIF(Checklist!$A$2:$A$3000,$A279))</f>
        <v/>
      </c>
      <c r="V279" s="6" t="n"/>
      <c r="Y279" s="7" t="b">
        <v>0</v>
      </c>
      <c r="Z279" s="6" t="n"/>
    </row>
    <row r="280">
      <c r="C280" s="6" t="n"/>
      <c r="E280" s="7" t="n"/>
      <c r="J280" s="8">
        <f>IF($I280="","",IFERROR(VLOOKUP($I280,Listas!$A$2:$B$100,2,FALSE),"—"))</f>
        <v/>
      </c>
      <c r="M280" s="7" t="b">
        <v>0</v>
      </c>
      <c r="N280" s="6" t="n"/>
      <c r="O280" s="9">
        <f>IF($N280="","",WORKDAY($N280,5,Listas!$O$2:$O$200))</f>
        <v/>
      </c>
      <c r="P280" s="10">
        <f>IF($O280="","",IF($O280&gt;=TODAY(),NETWORKDAYS(TODAY(),$O280,Listas!$O$2:$O$200)-1,NETWORKDAYS(TODAY(),$O280,Listas!$O$2:$O$200)+1))</f>
        <v/>
      </c>
      <c r="Q280" s="11">
        <f>IF($O280="","",IF($R280="Finalizado","Concluído",IF($R280="Usuário desistiu","Encerrado",IF($P280&lt;0,"Atrasado",IF($P280=0,"Vence hoje","No prazo")))))</f>
        <v/>
      </c>
      <c r="S280" s="7" t="b">
        <v>0</v>
      </c>
      <c r="T280" s="6" t="n"/>
      <c r="U280" s="12">
        <f>IF(COUNTIF(Checklist!$A$2:$A$3000,$A280)=0,"",COUNTIFS(Checklist!$A$2:$A$3000,$A280,Checklist!$C$2:$C$3000,TRUE)/COUNTIF(Checklist!$A$2:$A$3000,$A280))</f>
        <v/>
      </c>
      <c r="V280" s="6" t="n"/>
      <c r="Y280" s="7" t="b">
        <v>0</v>
      </c>
      <c r="Z280" s="6" t="n"/>
    </row>
    <row r="281">
      <c r="C281" s="6" t="n"/>
      <c r="E281" s="7" t="n"/>
      <c r="J281" s="8">
        <f>IF($I281="","",IFERROR(VLOOKUP($I281,Listas!$A$2:$B$100,2,FALSE),"—"))</f>
        <v/>
      </c>
      <c r="M281" s="7" t="b">
        <v>0</v>
      </c>
      <c r="N281" s="6" t="n"/>
      <c r="O281" s="9">
        <f>IF($N281="","",WORKDAY($N281,5,Listas!$O$2:$O$200))</f>
        <v/>
      </c>
      <c r="P281" s="10">
        <f>IF($O281="","",IF($O281&gt;=TODAY(),NETWORKDAYS(TODAY(),$O281,Listas!$O$2:$O$200)-1,NETWORKDAYS(TODAY(),$O281,Listas!$O$2:$O$200)+1))</f>
        <v/>
      </c>
      <c r="Q281" s="11">
        <f>IF($O281="","",IF($R281="Finalizado","Concluído",IF($R281="Usuário desistiu","Encerrado",IF($P281&lt;0,"Atrasado",IF($P281=0,"Vence hoje","No prazo")))))</f>
        <v/>
      </c>
      <c r="S281" s="7" t="b">
        <v>0</v>
      </c>
      <c r="T281" s="6" t="n"/>
      <c r="U281" s="12">
        <f>IF(COUNTIF(Checklist!$A$2:$A$3000,$A281)=0,"",COUNTIFS(Checklist!$A$2:$A$3000,$A281,Checklist!$C$2:$C$3000,TRUE)/COUNTIF(Checklist!$A$2:$A$3000,$A281))</f>
        <v/>
      </c>
      <c r="V281" s="6" t="n"/>
      <c r="Y281" s="7" t="b">
        <v>0</v>
      </c>
      <c r="Z281" s="6" t="n"/>
    </row>
    <row r="282">
      <c r="C282" s="6" t="n"/>
      <c r="E282" s="7" t="n"/>
      <c r="J282" s="8">
        <f>IF($I282="","",IFERROR(VLOOKUP($I282,Listas!$A$2:$B$100,2,FALSE),"—"))</f>
        <v/>
      </c>
      <c r="M282" s="7" t="b">
        <v>0</v>
      </c>
      <c r="N282" s="6" t="n"/>
      <c r="O282" s="9">
        <f>IF($N282="","",WORKDAY($N282,5,Listas!$O$2:$O$200))</f>
        <v/>
      </c>
      <c r="P282" s="10">
        <f>IF($O282="","",IF($O282&gt;=TODAY(),NETWORKDAYS(TODAY(),$O282,Listas!$O$2:$O$200)-1,NETWORKDAYS(TODAY(),$O282,Listas!$O$2:$O$200)+1))</f>
        <v/>
      </c>
      <c r="Q282" s="11">
        <f>IF($O282="","",IF($R282="Finalizado","Concluído",IF($R282="Usuário desistiu","Encerrado",IF($P282&lt;0,"Atrasado",IF($P282=0,"Vence hoje","No prazo")))))</f>
        <v/>
      </c>
      <c r="S282" s="7" t="b">
        <v>0</v>
      </c>
      <c r="T282" s="6" t="n"/>
      <c r="U282" s="12">
        <f>IF(COUNTIF(Checklist!$A$2:$A$3000,$A282)=0,"",COUNTIFS(Checklist!$A$2:$A$3000,$A282,Checklist!$C$2:$C$3000,TRUE)/COUNTIF(Checklist!$A$2:$A$3000,$A282))</f>
        <v/>
      </c>
      <c r="V282" s="6" t="n"/>
      <c r="Y282" s="7" t="b">
        <v>0</v>
      </c>
      <c r="Z282" s="6" t="n"/>
    </row>
    <row r="283">
      <c r="C283" s="6" t="n"/>
      <c r="E283" s="7" t="n"/>
      <c r="J283" s="8">
        <f>IF($I283="","",IFERROR(VLOOKUP($I283,Listas!$A$2:$B$100,2,FALSE),"—"))</f>
        <v/>
      </c>
      <c r="M283" s="7" t="b">
        <v>0</v>
      </c>
      <c r="N283" s="6" t="n"/>
      <c r="O283" s="9">
        <f>IF($N283="","",WORKDAY($N283,5,Listas!$O$2:$O$200))</f>
        <v/>
      </c>
      <c r="P283" s="10">
        <f>IF($O283="","",IF($O283&gt;=TODAY(),NETWORKDAYS(TODAY(),$O283,Listas!$O$2:$O$200)-1,NETWORKDAYS(TODAY(),$O283,Listas!$O$2:$O$200)+1))</f>
        <v/>
      </c>
      <c r="Q283" s="11">
        <f>IF($O283="","",IF($R283="Finalizado","Concluído",IF($R283="Usuário desistiu","Encerrado",IF($P283&lt;0,"Atrasado",IF($P283=0,"Vence hoje","No prazo")))))</f>
        <v/>
      </c>
      <c r="S283" s="7" t="b">
        <v>0</v>
      </c>
      <c r="T283" s="6" t="n"/>
      <c r="U283" s="12">
        <f>IF(COUNTIF(Checklist!$A$2:$A$3000,$A283)=0,"",COUNTIFS(Checklist!$A$2:$A$3000,$A283,Checklist!$C$2:$C$3000,TRUE)/COUNTIF(Checklist!$A$2:$A$3000,$A283))</f>
        <v/>
      </c>
      <c r="V283" s="6" t="n"/>
      <c r="Y283" s="7" t="b">
        <v>0</v>
      </c>
      <c r="Z283" s="6" t="n"/>
    </row>
    <row r="284">
      <c r="C284" s="6" t="n"/>
      <c r="E284" s="7" t="n"/>
      <c r="J284" s="8">
        <f>IF($I284="","",IFERROR(VLOOKUP($I284,Listas!$A$2:$B$100,2,FALSE),"—"))</f>
        <v/>
      </c>
      <c r="M284" s="7" t="b">
        <v>0</v>
      </c>
      <c r="N284" s="6" t="n"/>
      <c r="O284" s="9">
        <f>IF($N284="","",WORKDAY($N284,5,Listas!$O$2:$O$200))</f>
        <v/>
      </c>
      <c r="P284" s="10">
        <f>IF($O284="","",IF($O284&gt;=TODAY(),NETWORKDAYS(TODAY(),$O284,Listas!$O$2:$O$200)-1,NETWORKDAYS(TODAY(),$O284,Listas!$O$2:$O$200)+1))</f>
        <v/>
      </c>
      <c r="Q284" s="11">
        <f>IF($O284="","",IF($R284="Finalizado","Concluído",IF($R284="Usuário desistiu","Encerrado",IF($P284&lt;0,"Atrasado",IF($P284=0,"Vence hoje","No prazo")))))</f>
        <v/>
      </c>
      <c r="S284" s="7" t="b">
        <v>0</v>
      </c>
      <c r="T284" s="6" t="n"/>
      <c r="U284" s="12">
        <f>IF(COUNTIF(Checklist!$A$2:$A$3000,$A284)=0,"",COUNTIFS(Checklist!$A$2:$A$3000,$A284,Checklist!$C$2:$C$3000,TRUE)/COUNTIF(Checklist!$A$2:$A$3000,$A284))</f>
        <v/>
      </c>
      <c r="V284" s="6" t="n"/>
      <c r="Y284" s="7" t="b">
        <v>0</v>
      </c>
      <c r="Z284" s="6" t="n"/>
    </row>
    <row r="285">
      <c r="C285" s="6" t="n"/>
      <c r="E285" s="7" t="n"/>
      <c r="J285" s="8">
        <f>IF($I285="","",IFERROR(VLOOKUP($I285,Listas!$A$2:$B$100,2,FALSE),"—"))</f>
        <v/>
      </c>
      <c r="M285" s="7" t="b">
        <v>0</v>
      </c>
      <c r="N285" s="6" t="n"/>
      <c r="O285" s="9">
        <f>IF($N285="","",WORKDAY($N285,5,Listas!$O$2:$O$200))</f>
        <v/>
      </c>
      <c r="P285" s="10">
        <f>IF($O285="","",IF($O285&gt;=TODAY(),NETWORKDAYS(TODAY(),$O285,Listas!$O$2:$O$200)-1,NETWORKDAYS(TODAY(),$O285,Listas!$O$2:$O$200)+1))</f>
        <v/>
      </c>
      <c r="Q285" s="11">
        <f>IF($O285="","",IF($R285="Finalizado","Concluído",IF($R285="Usuário desistiu","Encerrado",IF($P285&lt;0,"Atrasado",IF($P285=0,"Vence hoje","No prazo")))))</f>
        <v/>
      </c>
      <c r="S285" s="7" t="b">
        <v>0</v>
      </c>
      <c r="T285" s="6" t="n"/>
      <c r="U285" s="12">
        <f>IF(COUNTIF(Checklist!$A$2:$A$3000,$A285)=0,"",COUNTIFS(Checklist!$A$2:$A$3000,$A285,Checklist!$C$2:$C$3000,TRUE)/COUNTIF(Checklist!$A$2:$A$3000,$A285))</f>
        <v/>
      </c>
      <c r="V285" s="6" t="n"/>
      <c r="Y285" s="7" t="b">
        <v>0</v>
      </c>
      <c r="Z285" s="6" t="n"/>
    </row>
    <row r="286">
      <c r="C286" s="6" t="n"/>
      <c r="E286" s="7" t="n"/>
      <c r="J286" s="8">
        <f>IF($I286="","",IFERROR(VLOOKUP($I286,Listas!$A$2:$B$100,2,FALSE),"—"))</f>
        <v/>
      </c>
      <c r="M286" s="7" t="b">
        <v>0</v>
      </c>
      <c r="N286" s="6" t="n"/>
      <c r="O286" s="9">
        <f>IF($N286="","",WORKDAY($N286,5,Listas!$O$2:$O$200))</f>
        <v/>
      </c>
      <c r="P286" s="10">
        <f>IF($O286="","",IF($O286&gt;=TODAY(),NETWORKDAYS(TODAY(),$O286,Listas!$O$2:$O$200)-1,NETWORKDAYS(TODAY(),$O286,Listas!$O$2:$O$200)+1))</f>
        <v/>
      </c>
      <c r="Q286" s="11">
        <f>IF($O286="","",IF($R286="Finalizado","Concluído",IF($R286="Usuário desistiu","Encerrado",IF($P286&lt;0,"Atrasado",IF($P286=0,"Vence hoje","No prazo")))))</f>
        <v/>
      </c>
      <c r="S286" s="7" t="b">
        <v>0</v>
      </c>
      <c r="T286" s="6" t="n"/>
      <c r="U286" s="12">
        <f>IF(COUNTIF(Checklist!$A$2:$A$3000,$A286)=0,"",COUNTIFS(Checklist!$A$2:$A$3000,$A286,Checklist!$C$2:$C$3000,TRUE)/COUNTIF(Checklist!$A$2:$A$3000,$A286))</f>
        <v/>
      </c>
      <c r="V286" s="6" t="n"/>
      <c r="Y286" s="7" t="b">
        <v>0</v>
      </c>
      <c r="Z286" s="6" t="n"/>
    </row>
    <row r="287">
      <c r="C287" s="6" t="n"/>
      <c r="E287" s="7" t="n"/>
      <c r="J287" s="8">
        <f>IF($I287="","",IFERROR(VLOOKUP($I287,Listas!$A$2:$B$100,2,FALSE),"—"))</f>
        <v/>
      </c>
      <c r="M287" s="7" t="b">
        <v>0</v>
      </c>
      <c r="N287" s="6" t="n"/>
      <c r="O287" s="9">
        <f>IF($N287="","",WORKDAY($N287,5,Listas!$O$2:$O$200))</f>
        <v/>
      </c>
      <c r="P287" s="10">
        <f>IF($O287="","",IF($O287&gt;=TODAY(),NETWORKDAYS(TODAY(),$O287,Listas!$O$2:$O$200)-1,NETWORKDAYS(TODAY(),$O287,Listas!$O$2:$O$200)+1))</f>
        <v/>
      </c>
      <c r="Q287" s="11">
        <f>IF($O287="","",IF($R287="Finalizado","Concluído",IF($R287="Usuário desistiu","Encerrado",IF($P287&lt;0,"Atrasado",IF($P287=0,"Vence hoje","No prazo")))))</f>
        <v/>
      </c>
      <c r="S287" s="7" t="b">
        <v>0</v>
      </c>
      <c r="T287" s="6" t="n"/>
      <c r="U287" s="12">
        <f>IF(COUNTIF(Checklist!$A$2:$A$3000,$A287)=0,"",COUNTIFS(Checklist!$A$2:$A$3000,$A287,Checklist!$C$2:$C$3000,TRUE)/COUNTIF(Checklist!$A$2:$A$3000,$A287))</f>
        <v/>
      </c>
      <c r="V287" s="6" t="n"/>
      <c r="Y287" s="7" t="b">
        <v>0</v>
      </c>
      <c r="Z287" s="6" t="n"/>
    </row>
    <row r="288">
      <c r="C288" s="6" t="n"/>
      <c r="E288" s="7" t="n"/>
      <c r="J288" s="8">
        <f>IF($I288="","",IFERROR(VLOOKUP($I288,Listas!$A$2:$B$100,2,FALSE),"—"))</f>
        <v/>
      </c>
      <c r="M288" s="7" t="b">
        <v>0</v>
      </c>
      <c r="N288" s="6" t="n"/>
      <c r="O288" s="9">
        <f>IF($N288="","",WORKDAY($N288,5,Listas!$O$2:$O$200))</f>
        <v/>
      </c>
      <c r="P288" s="10">
        <f>IF($O288="","",IF($O288&gt;=TODAY(),NETWORKDAYS(TODAY(),$O288,Listas!$O$2:$O$200)-1,NETWORKDAYS(TODAY(),$O288,Listas!$O$2:$O$200)+1))</f>
        <v/>
      </c>
      <c r="Q288" s="11">
        <f>IF($O288="","",IF($R288="Finalizado","Concluído",IF($R288="Usuário desistiu","Encerrado",IF($P288&lt;0,"Atrasado",IF($P288=0,"Vence hoje","No prazo")))))</f>
        <v/>
      </c>
      <c r="S288" s="7" t="b">
        <v>0</v>
      </c>
      <c r="T288" s="6" t="n"/>
      <c r="U288" s="12">
        <f>IF(COUNTIF(Checklist!$A$2:$A$3000,$A288)=0,"",COUNTIFS(Checklist!$A$2:$A$3000,$A288,Checklist!$C$2:$C$3000,TRUE)/COUNTIF(Checklist!$A$2:$A$3000,$A288))</f>
        <v/>
      </c>
      <c r="V288" s="6" t="n"/>
      <c r="Y288" s="7" t="b">
        <v>0</v>
      </c>
      <c r="Z288" s="6" t="n"/>
    </row>
    <row r="289">
      <c r="C289" s="6" t="n"/>
      <c r="E289" s="7" t="n"/>
      <c r="J289" s="8">
        <f>IF($I289="","",IFERROR(VLOOKUP($I289,Listas!$A$2:$B$100,2,FALSE),"—"))</f>
        <v/>
      </c>
      <c r="M289" s="7" t="b">
        <v>0</v>
      </c>
      <c r="N289" s="6" t="n"/>
      <c r="O289" s="9">
        <f>IF($N289="","",WORKDAY($N289,5,Listas!$O$2:$O$200))</f>
        <v/>
      </c>
      <c r="P289" s="10">
        <f>IF($O289="","",IF($O289&gt;=TODAY(),NETWORKDAYS(TODAY(),$O289,Listas!$O$2:$O$200)-1,NETWORKDAYS(TODAY(),$O289,Listas!$O$2:$O$200)+1))</f>
        <v/>
      </c>
      <c r="Q289" s="11">
        <f>IF($O289="","",IF($R289="Finalizado","Concluído",IF($R289="Usuário desistiu","Encerrado",IF($P289&lt;0,"Atrasado",IF($P289=0,"Vence hoje","No prazo")))))</f>
        <v/>
      </c>
      <c r="S289" s="7" t="b">
        <v>0</v>
      </c>
      <c r="T289" s="6" t="n"/>
      <c r="U289" s="12">
        <f>IF(COUNTIF(Checklist!$A$2:$A$3000,$A289)=0,"",COUNTIFS(Checklist!$A$2:$A$3000,$A289,Checklist!$C$2:$C$3000,TRUE)/COUNTIF(Checklist!$A$2:$A$3000,$A289))</f>
        <v/>
      </c>
      <c r="V289" s="6" t="n"/>
      <c r="Y289" s="7" t="b">
        <v>0</v>
      </c>
      <c r="Z289" s="6" t="n"/>
    </row>
    <row r="290">
      <c r="C290" s="6" t="n"/>
      <c r="E290" s="7" t="n"/>
      <c r="J290" s="8">
        <f>IF($I290="","",IFERROR(VLOOKUP($I290,Listas!$A$2:$B$100,2,FALSE),"—"))</f>
        <v/>
      </c>
      <c r="M290" s="7" t="b">
        <v>0</v>
      </c>
      <c r="N290" s="6" t="n"/>
      <c r="O290" s="9">
        <f>IF($N290="","",WORKDAY($N290,5,Listas!$O$2:$O$200))</f>
        <v/>
      </c>
      <c r="P290" s="10">
        <f>IF($O290="","",IF($O290&gt;=TODAY(),NETWORKDAYS(TODAY(),$O290,Listas!$O$2:$O$200)-1,NETWORKDAYS(TODAY(),$O290,Listas!$O$2:$O$200)+1))</f>
        <v/>
      </c>
      <c r="Q290" s="11">
        <f>IF($O290="","",IF($R290="Finalizado","Concluído",IF($R290="Usuário desistiu","Encerrado",IF($P290&lt;0,"Atrasado",IF($P290=0,"Vence hoje","No prazo")))))</f>
        <v/>
      </c>
      <c r="S290" s="7" t="b">
        <v>0</v>
      </c>
      <c r="T290" s="6" t="n"/>
      <c r="U290" s="12">
        <f>IF(COUNTIF(Checklist!$A$2:$A$3000,$A290)=0,"",COUNTIFS(Checklist!$A$2:$A$3000,$A290,Checklist!$C$2:$C$3000,TRUE)/COUNTIF(Checklist!$A$2:$A$3000,$A290))</f>
        <v/>
      </c>
      <c r="V290" s="6" t="n"/>
      <c r="Y290" s="7" t="b">
        <v>0</v>
      </c>
      <c r="Z290" s="6" t="n"/>
    </row>
    <row r="291">
      <c r="C291" s="6" t="n"/>
      <c r="E291" s="7" t="n"/>
      <c r="J291" s="8">
        <f>IF($I291="","",IFERROR(VLOOKUP($I291,Listas!$A$2:$B$100,2,FALSE),"—"))</f>
        <v/>
      </c>
      <c r="M291" s="7" t="b">
        <v>0</v>
      </c>
      <c r="N291" s="6" t="n"/>
      <c r="O291" s="9">
        <f>IF($N291="","",WORKDAY($N291,5,Listas!$O$2:$O$200))</f>
        <v/>
      </c>
      <c r="P291" s="10">
        <f>IF($O291="","",IF($O291&gt;=TODAY(),NETWORKDAYS(TODAY(),$O291,Listas!$O$2:$O$200)-1,NETWORKDAYS(TODAY(),$O291,Listas!$O$2:$O$200)+1))</f>
        <v/>
      </c>
      <c r="Q291" s="11">
        <f>IF($O291="","",IF($R291="Finalizado","Concluído",IF($R291="Usuário desistiu","Encerrado",IF($P291&lt;0,"Atrasado",IF($P291=0,"Vence hoje","No prazo")))))</f>
        <v/>
      </c>
      <c r="S291" s="7" t="b">
        <v>0</v>
      </c>
      <c r="T291" s="6" t="n"/>
      <c r="U291" s="12">
        <f>IF(COUNTIF(Checklist!$A$2:$A$3000,$A291)=0,"",COUNTIFS(Checklist!$A$2:$A$3000,$A291,Checklist!$C$2:$C$3000,TRUE)/COUNTIF(Checklist!$A$2:$A$3000,$A291))</f>
        <v/>
      </c>
      <c r="V291" s="6" t="n"/>
      <c r="Y291" s="7" t="b">
        <v>0</v>
      </c>
      <c r="Z291" s="6" t="n"/>
    </row>
    <row r="292">
      <c r="C292" s="6" t="n"/>
      <c r="E292" s="7" t="n"/>
      <c r="J292" s="8">
        <f>IF($I292="","",IFERROR(VLOOKUP($I292,Listas!$A$2:$B$100,2,FALSE),"—"))</f>
        <v/>
      </c>
      <c r="M292" s="7" t="b">
        <v>0</v>
      </c>
      <c r="N292" s="6" t="n"/>
      <c r="O292" s="9">
        <f>IF($N292="","",WORKDAY($N292,5,Listas!$O$2:$O$200))</f>
        <v/>
      </c>
      <c r="P292" s="10">
        <f>IF($O292="","",IF($O292&gt;=TODAY(),NETWORKDAYS(TODAY(),$O292,Listas!$O$2:$O$200)-1,NETWORKDAYS(TODAY(),$O292,Listas!$O$2:$O$200)+1))</f>
        <v/>
      </c>
      <c r="Q292" s="11">
        <f>IF($O292="","",IF($R292="Finalizado","Concluído",IF($R292="Usuário desistiu","Encerrado",IF($P292&lt;0,"Atrasado",IF($P292=0,"Vence hoje","No prazo")))))</f>
        <v/>
      </c>
      <c r="S292" s="7" t="b">
        <v>0</v>
      </c>
      <c r="T292" s="6" t="n"/>
      <c r="U292" s="12">
        <f>IF(COUNTIF(Checklist!$A$2:$A$3000,$A292)=0,"",COUNTIFS(Checklist!$A$2:$A$3000,$A292,Checklist!$C$2:$C$3000,TRUE)/COUNTIF(Checklist!$A$2:$A$3000,$A292))</f>
        <v/>
      </c>
      <c r="V292" s="6" t="n"/>
      <c r="Y292" s="7" t="b">
        <v>0</v>
      </c>
      <c r="Z292" s="6" t="n"/>
    </row>
    <row r="293">
      <c r="C293" s="6" t="n"/>
      <c r="E293" s="7" t="n"/>
      <c r="J293" s="8">
        <f>IF($I293="","",IFERROR(VLOOKUP($I293,Listas!$A$2:$B$100,2,FALSE),"—"))</f>
        <v/>
      </c>
      <c r="M293" s="7" t="b">
        <v>0</v>
      </c>
      <c r="N293" s="6" t="n"/>
      <c r="O293" s="9">
        <f>IF($N293="","",WORKDAY($N293,5,Listas!$O$2:$O$200))</f>
        <v/>
      </c>
      <c r="P293" s="10">
        <f>IF($O293="","",IF($O293&gt;=TODAY(),NETWORKDAYS(TODAY(),$O293,Listas!$O$2:$O$200)-1,NETWORKDAYS(TODAY(),$O293,Listas!$O$2:$O$200)+1))</f>
        <v/>
      </c>
      <c r="Q293" s="11">
        <f>IF($O293="","",IF($R293="Finalizado","Concluído",IF($R293="Usuário desistiu","Encerrado",IF($P293&lt;0,"Atrasado",IF($P293=0,"Vence hoje","No prazo")))))</f>
        <v/>
      </c>
      <c r="S293" s="7" t="b">
        <v>0</v>
      </c>
      <c r="T293" s="6" t="n"/>
      <c r="U293" s="12">
        <f>IF(COUNTIF(Checklist!$A$2:$A$3000,$A293)=0,"",COUNTIFS(Checklist!$A$2:$A$3000,$A293,Checklist!$C$2:$C$3000,TRUE)/COUNTIF(Checklist!$A$2:$A$3000,$A293))</f>
        <v/>
      </c>
      <c r="V293" s="6" t="n"/>
      <c r="Y293" s="7" t="b">
        <v>0</v>
      </c>
      <c r="Z293" s="6" t="n"/>
    </row>
    <row r="294">
      <c r="C294" s="6" t="n"/>
      <c r="E294" s="7" t="n"/>
      <c r="J294" s="8">
        <f>IF($I294="","",IFERROR(VLOOKUP($I294,Listas!$A$2:$B$100,2,FALSE),"—"))</f>
        <v/>
      </c>
      <c r="M294" s="7" t="b">
        <v>0</v>
      </c>
      <c r="N294" s="6" t="n"/>
      <c r="O294" s="9">
        <f>IF($N294="","",WORKDAY($N294,5,Listas!$O$2:$O$200))</f>
        <v/>
      </c>
      <c r="P294" s="10">
        <f>IF($O294="","",IF($O294&gt;=TODAY(),NETWORKDAYS(TODAY(),$O294,Listas!$O$2:$O$200)-1,NETWORKDAYS(TODAY(),$O294,Listas!$O$2:$O$200)+1))</f>
        <v/>
      </c>
      <c r="Q294" s="11">
        <f>IF($O294="","",IF($R294="Finalizado","Concluído",IF($R294="Usuário desistiu","Encerrado",IF($P294&lt;0,"Atrasado",IF($P294=0,"Vence hoje","No prazo")))))</f>
        <v/>
      </c>
      <c r="S294" s="7" t="b">
        <v>0</v>
      </c>
      <c r="T294" s="6" t="n"/>
      <c r="U294" s="12">
        <f>IF(COUNTIF(Checklist!$A$2:$A$3000,$A294)=0,"",COUNTIFS(Checklist!$A$2:$A$3000,$A294,Checklist!$C$2:$C$3000,TRUE)/COUNTIF(Checklist!$A$2:$A$3000,$A294))</f>
        <v/>
      </c>
      <c r="V294" s="6" t="n"/>
      <c r="Y294" s="7" t="b">
        <v>0</v>
      </c>
      <c r="Z294" s="6" t="n"/>
    </row>
    <row r="295">
      <c r="C295" s="6" t="n"/>
      <c r="E295" s="7" t="n"/>
      <c r="J295" s="8">
        <f>IF($I295="","",IFERROR(VLOOKUP($I295,Listas!$A$2:$B$100,2,FALSE),"—"))</f>
        <v/>
      </c>
      <c r="M295" s="7" t="b">
        <v>0</v>
      </c>
      <c r="N295" s="6" t="n"/>
      <c r="O295" s="9">
        <f>IF($N295="","",WORKDAY($N295,5,Listas!$O$2:$O$200))</f>
        <v/>
      </c>
      <c r="P295" s="10">
        <f>IF($O295="","",IF($O295&gt;=TODAY(),NETWORKDAYS(TODAY(),$O295,Listas!$O$2:$O$200)-1,NETWORKDAYS(TODAY(),$O295,Listas!$O$2:$O$200)+1))</f>
        <v/>
      </c>
      <c r="Q295" s="11">
        <f>IF($O295="","",IF($R295="Finalizado","Concluído",IF($R295="Usuário desistiu","Encerrado",IF($P295&lt;0,"Atrasado",IF($P295=0,"Vence hoje","No prazo")))))</f>
        <v/>
      </c>
      <c r="S295" s="7" t="b">
        <v>0</v>
      </c>
      <c r="T295" s="6" t="n"/>
      <c r="U295" s="12">
        <f>IF(COUNTIF(Checklist!$A$2:$A$3000,$A295)=0,"",COUNTIFS(Checklist!$A$2:$A$3000,$A295,Checklist!$C$2:$C$3000,TRUE)/COUNTIF(Checklist!$A$2:$A$3000,$A295))</f>
        <v/>
      </c>
      <c r="V295" s="6" t="n"/>
      <c r="Y295" s="7" t="b">
        <v>0</v>
      </c>
      <c r="Z295" s="6" t="n"/>
    </row>
    <row r="296">
      <c r="C296" s="6" t="n"/>
      <c r="E296" s="7" t="n"/>
      <c r="J296" s="8">
        <f>IF($I296="","",IFERROR(VLOOKUP($I296,Listas!$A$2:$B$100,2,FALSE),"—"))</f>
        <v/>
      </c>
      <c r="M296" s="7" t="b">
        <v>0</v>
      </c>
      <c r="N296" s="6" t="n"/>
      <c r="O296" s="9">
        <f>IF($N296="","",WORKDAY($N296,5,Listas!$O$2:$O$200))</f>
        <v/>
      </c>
      <c r="P296" s="10">
        <f>IF($O296="","",IF($O296&gt;=TODAY(),NETWORKDAYS(TODAY(),$O296,Listas!$O$2:$O$200)-1,NETWORKDAYS(TODAY(),$O296,Listas!$O$2:$O$200)+1))</f>
        <v/>
      </c>
      <c r="Q296" s="11">
        <f>IF($O296="","",IF($R296="Finalizado","Concluído",IF($R296="Usuário desistiu","Encerrado",IF($P296&lt;0,"Atrasado",IF($P296=0,"Vence hoje","No prazo")))))</f>
        <v/>
      </c>
      <c r="S296" s="7" t="b">
        <v>0</v>
      </c>
      <c r="T296" s="6" t="n"/>
      <c r="U296" s="12">
        <f>IF(COUNTIF(Checklist!$A$2:$A$3000,$A296)=0,"",COUNTIFS(Checklist!$A$2:$A$3000,$A296,Checklist!$C$2:$C$3000,TRUE)/COUNTIF(Checklist!$A$2:$A$3000,$A296))</f>
        <v/>
      </c>
      <c r="V296" s="6" t="n"/>
      <c r="Y296" s="7" t="b">
        <v>0</v>
      </c>
      <c r="Z296" s="6" t="n"/>
    </row>
    <row r="297">
      <c r="C297" s="6" t="n"/>
      <c r="E297" s="7" t="n"/>
      <c r="J297" s="8">
        <f>IF($I297="","",IFERROR(VLOOKUP($I297,Listas!$A$2:$B$100,2,FALSE),"—"))</f>
        <v/>
      </c>
      <c r="M297" s="7" t="b">
        <v>0</v>
      </c>
      <c r="N297" s="6" t="n"/>
      <c r="O297" s="9">
        <f>IF($N297="","",WORKDAY($N297,5,Listas!$O$2:$O$200))</f>
        <v/>
      </c>
      <c r="P297" s="10">
        <f>IF($O297="","",IF($O297&gt;=TODAY(),NETWORKDAYS(TODAY(),$O297,Listas!$O$2:$O$200)-1,NETWORKDAYS(TODAY(),$O297,Listas!$O$2:$O$200)+1))</f>
        <v/>
      </c>
      <c r="Q297" s="11">
        <f>IF($O297="","",IF($R297="Finalizado","Concluído",IF($R297="Usuário desistiu","Encerrado",IF($P297&lt;0,"Atrasado",IF($P297=0,"Vence hoje","No prazo")))))</f>
        <v/>
      </c>
      <c r="S297" s="7" t="b">
        <v>0</v>
      </c>
      <c r="T297" s="6" t="n"/>
      <c r="U297" s="12">
        <f>IF(COUNTIF(Checklist!$A$2:$A$3000,$A297)=0,"",COUNTIFS(Checklist!$A$2:$A$3000,$A297,Checklist!$C$2:$C$3000,TRUE)/COUNTIF(Checklist!$A$2:$A$3000,$A297))</f>
        <v/>
      </c>
      <c r="V297" s="6" t="n"/>
      <c r="Y297" s="7" t="b">
        <v>0</v>
      </c>
      <c r="Z297" s="6" t="n"/>
    </row>
    <row r="298">
      <c r="C298" s="6" t="n"/>
      <c r="E298" s="7" t="n"/>
      <c r="J298" s="8">
        <f>IF($I298="","",IFERROR(VLOOKUP($I298,Listas!$A$2:$B$100,2,FALSE),"—"))</f>
        <v/>
      </c>
      <c r="M298" s="7" t="b">
        <v>0</v>
      </c>
      <c r="N298" s="6" t="n"/>
      <c r="O298" s="9">
        <f>IF($N298="","",WORKDAY($N298,5,Listas!$O$2:$O$200))</f>
        <v/>
      </c>
      <c r="P298" s="10">
        <f>IF($O298="","",IF($O298&gt;=TODAY(),NETWORKDAYS(TODAY(),$O298,Listas!$O$2:$O$200)-1,NETWORKDAYS(TODAY(),$O298,Listas!$O$2:$O$200)+1))</f>
        <v/>
      </c>
      <c r="Q298" s="11">
        <f>IF($O298="","",IF($R298="Finalizado","Concluído",IF($R298="Usuário desistiu","Encerrado",IF($P298&lt;0,"Atrasado",IF($P298=0,"Vence hoje","No prazo")))))</f>
        <v/>
      </c>
      <c r="S298" s="7" t="b">
        <v>0</v>
      </c>
      <c r="T298" s="6" t="n"/>
      <c r="U298" s="12">
        <f>IF(COUNTIF(Checklist!$A$2:$A$3000,$A298)=0,"",COUNTIFS(Checklist!$A$2:$A$3000,$A298,Checklist!$C$2:$C$3000,TRUE)/COUNTIF(Checklist!$A$2:$A$3000,$A298))</f>
        <v/>
      </c>
      <c r="V298" s="6" t="n"/>
      <c r="Y298" s="7" t="b">
        <v>0</v>
      </c>
      <c r="Z298" s="6" t="n"/>
    </row>
    <row r="299">
      <c r="C299" s="6" t="n"/>
      <c r="E299" s="7" t="n"/>
      <c r="J299" s="8">
        <f>IF($I299="","",IFERROR(VLOOKUP($I299,Listas!$A$2:$B$100,2,FALSE),"—"))</f>
        <v/>
      </c>
      <c r="M299" s="7" t="b">
        <v>0</v>
      </c>
      <c r="N299" s="6" t="n"/>
      <c r="O299" s="9">
        <f>IF($N299="","",WORKDAY($N299,5,Listas!$O$2:$O$200))</f>
        <v/>
      </c>
      <c r="P299" s="10">
        <f>IF($O299="","",IF($O299&gt;=TODAY(),NETWORKDAYS(TODAY(),$O299,Listas!$O$2:$O$200)-1,NETWORKDAYS(TODAY(),$O299,Listas!$O$2:$O$200)+1))</f>
        <v/>
      </c>
      <c r="Q299" s="11">
        <f>IF($O299="","",IF($R299="Finalizado","Concluído",IF($R299="Usuário desistiu","Encerrado",IF($P299&lt;0,"Atrasado",IF($P299=0,"Vence hoje","No prazo")))))</f>
        <v/>
      </c>
      <c r="S299" s="7" t="b">
        <v>0</v>
      </c>
      <c r="T299" s="6" t="n"/>
      <c r="U299" s="12">
        <f>IF(COUNTIF(Checklist!$A$2:$A$3000,$A299)=0,"",COUNTIFS(Checklist!$A$2:$A$3000,$A299,Checklist!$C$2:$C$3000,TRUE)/COUNTIF(Checklist!$A$2:$A$3000,$A299))</f>
        <v/>
      </c>
      <c r="V299" s="6" t="n"/>
      <c r="Y299" s="7" t="b">
        <v>0</v>
      </c>
      <c r="Z299" s="6" t="n"/>
    </row>
    <row r="300">
      <c r="C300" s="6" t="n"/>
      <c r="E300" s="7" t="n"/>
      <c r="J300" s="8">
        <f>IF($I300="","",IFERROR(VLOOKUP($I300,Listas!$A$2:$B$100,2,FALSE),"—"))</f>
        <v/>
      </c>
      <c r="M300" s="7" t="b">
        <v>0</v>
      </c>
      <c r="N300" s="6" t="n"/>
      <c r="O300" s="9">
        <f>IF($N300="","",WORKDAY($N300,5,Listas!$O$2:$O$200))</f>
        <v/>
      </c>
      <c r="P300" s="10">
        <f>IF($O300="","",IF($O300&gt;=TODAY(),NETWORKDAYS(TODAY(),$O300,Listas!$O$2:$O$200)-1,NETWORKDAYS(TODAY(),$O300,Listas!$O$2:$O$200)+1))</f>
        <v/>
      </c>
      <c r="Q300" s="11">
        <f>IF($O300="","",IF($R300="Finalizado","Concluído",IF($R300="Usuário desistiu","Encerrado",IF($P300&lt;0,"Atrasado",IF($P300=0,"Vence hoje","No prazo")))))</f>
        <v/>
      </c>
      <c r="S300" s="7" t="b">
        <v>0</v>
      </c>
      <c r="T300" s="6" t="n"/>
      <c r="U300" s="12">
        <f>IF(COUNTIF(Checklist!$A$2:$A$3000,$A300)=0,"",COUNTIFS(Checklist!$A$2:$A$3000,$A300,Checklist!$C$2:$C$3000,TRUE)/COUNTIF(Checklist!$A$2:$A$3000,$A300))</f>
        <v/>
      </c>
      <c r="V300" s="6" t="n"/>
      <c r="Y300" s="7" t="b">
        <v>0</v>
      </c>
      <c r="Z300" s="6" t="n"/>
    </row>
    <row r="301">
      <c r="C301" s="6" t="n"/>
      <c r="E301" s="7" t="n"/>
      <c r="J301" s="8">
        <f>IF($I301="","",IFERROR(VLOOKUP($I301,Listas!$A$2:$B$100,2,FALSE),"—"))</f>
        <v/>
      </c>
      <c r="M301" s="7" t="b">
        <v>0</v>
      </c>
      <c r="N301" s="6" t="n"/>
      <c r="O301" s="9">
        <f>IF($N301="","",WORKDAY($N301,5,Listas!$O$2:$O$200))</f>
        <v/>
      </c>
      <c r="P301" s="10">
        <f>IF($O301="","",IF($O301&gt;=TODAY(),NETWORKDAYS(TODAY(),$O301,Listas!$O$2:$O$200)-1,NETWORKDAYS(TODAY(),$O301,Listas!$O$2:$O$200)+1))</f>
        <v/>
      </c>
      <c r="Q301" s="11">
        <f>IF($O301="","",IF($R301="Finalizado","Concluído",IF($R301="Usuário desistiu","Encerrado",IF($P301&lt;0,"Atrasado",IF($P301=0,"Vence hoje","No prazo")))))</f>
        <v/>
      </c>
      <c r="S301" s="7" t="b">
        <v>0</v>
      </c>
      <c r="T301" s="6" t="n"/>
      <c r="U301" s="12">
        <f>IF(COUNTIF(Checklist!$A$2:$A$3000,$A301)=0,"",COUNTIFS(Checklist!$A$2:$A$3000,$A301,Checklist!$C$2:$C$3000,TRUE)/COUNTIF(Checklist!$A$2:$A$3000,$A301))</f>
        <v/>
      </c>
      <c r="V301" s="6" t="n"/>
      <c r="Y301" s="7" t="b">
        <v>0</v>
      </c>
      <c r="Z301" s="6" t="n"/>
    </row>
  </sheetData>
  <conditionalFormatting sqref="A2:Z301">
    <cfRule type="expression" priority="1" dxfId="0" stopIfTrue="1">
      <formula>=$Y2=TRUE</formula>
    </cfRule>
    <cfRule type="expression" priority="2" dxfId="1" stopIfTrue="1">
      <formula>=AND($R2="Finalizado",$S2=FALSE)</formula>
    </cfRule>
    <cfRule type="expression" priority="3" dxfId="2" stopIfTrue="1">
      <formula>=$Q2="Atrasado"</formula>
    </cfRule>
    <cfRule type="expression" priority="4" dxfId="3" stopIfTrue="1">
      <formula>=$Q2="Vence hoje"</formula>
    </cfRule>
    <cfRule type="expression" priority="5" dxfId="4" stopIfTrue="1">
      <formula>=$Q2="Concluído"</formula>
    </cfRule>
    <cfRule type="expression" priority="6" dxfId="5" stopIfTrue="0">
      <formula>=AND($M2=TRUE,$U2&lt;&gt;"",$U2&lt;1)</formula>
    </cfRule>
  </conditionalFormatting>
  <conditionalFormatting sqref="A2:A301">
    <cfRule type="expression" priority="7" dxfId="6">
      <formula>=AND($A2&lt;&gt;"",COUNTIF($A$2:$A$301,$A2)&gt;1)</formula>
    </cfRule>
  </conditionalFormatting>
  <conditionalFormatting sqref="B2:B301">
    <cfRule type="expression" priority="8" dxfId="6">
      <formula>=AND($B2&lt;&gt;"",COUNTIF($B$2:$B$301,$B2)&gt;1)</formula>
    </cfRule>
  </conditionalFormatting>
  <conditionalFormatting sqref="L2:L301">
    <cfRule type="expression" priority="9" dxfId="7" stopIfTrue="1">
      <formula>=$L2="Escrevente 1"</formula>
    </cfRule>
    <cfRule type="expression" priority="10" dxfId="8" stopIfTrue="1">
      <formula>=$L2="Escrevente 2"</formula>
    </cfRule>
    <cfRule type="expression" priority="11" dxfId="9" stopIfTrue="1">
      <formula>=$L2="Escrevente 3"</formula>
    </cfRule>
  </conditionalFormatting>
  <dataValidations count="6">
    <dataValidation sqref="E2:E301" showDropDown="0" showInputMessage="0" showErrorMessage="0" allowBlank="1" type="list">
      <formula1>=Listas!$M$2:$M$5</formula1>
    </dataValidation>
    <dataValidation sqref="I2:I301" showDropDown="0" showInputMessage="0" showErrorMessage="0" allowBlank="1" type="list">
      <formula1>=Listas!$A$2:$A$100</formula1>
    </dataValidation>
    <dataValidation sqref="K2:K301" showDropDown="0" showInputMessage="0" showErrorMessage="0" allowBlank="1" type="list">
      <formula1>=Listas!$K$2:$K$20</formula1>
    </dataValidation>
    <dataValidation sqref="L2:L301" showDropDown="0" showInputMessage="0" showErrorMessage="0" allowBlank="1" type="list">
      <formula1>=Listas!$I$2:$I$50</formula1>
    </dataValidation>
    <dataValidation sqref="R2:R301" showDropDown="0" showInputMessage="0" showErrorMessage="0" allowBlank="1" type="list">
      <formula1>=Listas!$D$2:$D$100</formula1>
    </dataValidation>
    <dataValidation sqref="W2:W301" showDropDown="0" showInputMessage="0" showErrorMessage="0" allowBlank="1" type="list">
      <formula1>=Listas!$I$2:$I$50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1" customWidth="1" min="3" max="3"/>
    <col width="40" customWidth="1" min="4" max="4"/>
  </cols>
  <sheetData>
    <row r="1" ht="32" customHeight="1">
      <c r="A1" s="5" t="inlineStr">
        <is>
          <t>ID Protocolo</t>
        </is>
      </c>
      <c r="B1" s="5" t="inlineStr">
        <is>
          <t>Documento</t>
        </is>
      </c>
      <c r="C1" s="5" t="inlineStr">
        <is>
          <t>Entregue?</t>
        </is>
      </c>
      <c r="D1" s="5" t="inlineStr">
        <is>
          <t>Observação</t>
        </is>
      </c>
    </row>
    <row r="2">
      <c r="C2" s="7" t="b">
        <v>0</v>
      </c>
    </row>
    <row r="3">
      <c r="C3" s="7" t="b">
        <v>0</v>
      </c>
    </row>
    <row r="4">
      <c r="C4" s="7" t="b">
        <v>0</v>
      </c>
    </row>
    <row r="5">
      <c r="C5" s="7" t="b">
        <v>0</v>
      </c>
    </row>
    <row r="6">
      <c r="C6" s="7" t="b">
        <v>0</v>
      </c>
    </row>
    <row r="7">
      <c r="C7" s="7" t="b">
        <v>0</v>
      </c>
    </row>
    <row r="8">
      <c r="C8" s="7" t="b">
        <v>0</v>
      </c>
    </row>
    <row r="9">
      <c r="C9" s="7" t="b">
        <v>0</v>
      </c>
    </row>
    <row r="10">
      <c r="C10" s="7" t="b">
        <v>0</v>
      </c>
    </row>
    <row r="11">
      <c r="C11" s="7" t="b">
        <v>0</v>
      </c>
    </row>
    <row r="12">
      <c r="C12" s="7" t="b">
        <v>0</v>
      </c>
    </row>
    <row r="13">
      <c r="C13" s="7" t="b">
        <v>0</v>
      </c>
    </row>
    <row r="14">
      <c r="C14" s="7" t="b">
        <v>0</v>
      </c>
    </row>
    <row r="15">
      <c r="C15" s="7" t="b">
        <v>0</v>
      </c>
    </row>
    <row r="16">
      <c r="C16" s="7" t="b">
        <v>0</v>
      </c>
    </row>
    <row r="17">
      <c r="C17" s="7" t="b">
        <v>0</v>
      </c>
    </row>
    <row r="18">
      <c r="C18" s="7" t="b">
        <v>0</v>
      </c>
    </row>
    <row r="19">
      <c r="C19" s="7" t="b">
        <v>0</v>
      </c>
    </row>
    <row r="20">
      <c r="C20" s="7" t="b">
        <v>0</v>
      </c>
    </row>
    <row r="21">
      <c r="C21" s="7" t="b">
        <v>0</v>
      </c>
    </row>
    <row r="22">
      <c r="C22" s="7" t="b">
        <v>0</v>
      </c>
    </row>
    <row r="23">
      <c r="C23" s="7" t="b">
        <v>0</v>
      </c>
    </row>
    <row r="24">
      <c r="C24" s="7" t="b">
        <v>0</v>
      </c>
    </row>
    <row r="25">
      <c r="C25" s="7" t="b">
        <v>0</v>
      </c>
    </row>
    <row r="26">
      <c r="C26" s="7" t="b">
        <v>0</v>
      </c>
    </row>
    <row r="27">
      <c r="C27" s="7" t="b">
        <v>0</v>
      </c>
    </row>
    <row r="28">
      <c r="C28" s="7" t="b">
        <v>0</v>
      </c>
    </row>
    <row r="29">
      <c r="C29" s="7" t="b">
        <v>0</v>
      </c>
    </row>
    <row r="30">
      <c r="C30" s="7" t="b">
        <v>0</v>
      </c>
    </row>
    <row r="31">
      <c r="C31" s="7" t="b">
        <v>0</v>
      </c>
    </row>
    <row r="32">
      <c r="C32" s="7" t="b">
        <v>0</v>
      </c>
    </row>
    <row r="33">
      <c r="C33" s="7" t="b">
        <v>0</v>
      </c>
    </row>
    <row r="34">
      <c r="C34" s="7" t="b">
        <v>0</v>
      </c>
    </row>
    <row r="35">
      <c r="C35" s="7" t="b">
        <v>0</v>
      </c>
    </row>
    <row r="36">
      <c r="C36" s="7" t="b">
        <v>0</v>
      </c>
    </row>
    <row r="37">
      <c r="C37" s="7" t="b">
        <v>0</v>
      </c>
    </row>
    <row r="38">
      <c r="C38" s="7" t="b">
        <v>0</v>
      </c>
    </row>
    <row r="39">
      <c r="C39" s="7" t="b">
        <v>0</v>
      </c>
    </row>
    <row r="40">
      <c r="C40" s="7" t="b">
        <v>0</v>
      </c>
    </row>
    <row r="41">
      <c r="C41" s="7" t="b">
        <v>0</v>
      </c>
    </row>
    <row r="42">
      <c r="C42" s="7" t="b">
        <v>0</v>
      </c>
    </row>
    <row r="43">
      <c r="C43" s="7" t="b">
        <v>0</v>
      </c>
    </row>
    <row r="44">
      <c r="C44" s="7" t="b">
        <v>0</v>
      </c>
    </row>
    <row r="45">
      <c r="C45" s="7" t="b">
        <v>0</v>
      </c>
    </row>
    <row r="46">
      <c r="C46" s="7" t="b">
        <v>0</v>
      </c>
    </row>
    <row r="47">
      <c r="C47" s="7" t="b">
        <v>0</v>
      </c>
    </row>
    <row r="48">
      <c r="C48" s="7" t="b">
        <v>0</v>
      </c>
    </row>
    <row r="49">
      <c r="C49" s="7" t="b">
        <v>0</v>
      </c>
    </row>
    <row r="50">
      <c r="C50" s="7" t="b">
        <v>0</v>
      </c>
    </row>
    <row r="51">
      <c r="C51" s="7" t="b">
        <v>0</v>
      </c>
    </row>
    <row r="52">
      <c r="C52" s="7" t="b">
        <v>0</v>
      </c>
    </row>
    <row r="53">
      <c r="C53" s="7" t="b">
        <v>0</v>
      </c>
    </row>
    <row r="54">
      <c r="C54" s="7" t="b">
        <v>0</v>
      </c>
    </row>
    <row r="55">
      <c r="C55" s="7" t="b">
        <v>0</v>
      </c>
    </row>
    <row r="56">
      <c r="C56" s="7" t="b">
        <v>0</v>
      </c>
    </row>
    <row r="57">
      <c r="C57" s="7" t="b">
        <v>0</v>
      </c>
    </row>
    <row r="58">
      <c r="C58" s="7" t="b">
        <v>0</v>
      </c>
    </row>
    <row r="59">
      <c r="C59" s="7" t="b">
        <v>0</v>
      </c>
    </row>
    <row r="60">
      <c r="C60" s="7" t="b">
        <v>0</v>
      </c>
    </row>
    <row r="61">
      <c r="C61" s="7" t="b">
        <v>0</v>
      </c>
    </row>
    <row r="62">
      <c r="C62" s="7" t="b">
        <v>0</v>
      </c>
    </row>
    <row r="63">
      <c r="C63" s="7" t="b">
        <v>0</v>
      </c>
    </row>
    <row r="64">
      <c r="C64" s="7" t="b">
        <v>0</v>
      </c>
    </row>
    <row r="65">
      <c r="C65" s="7" t="b">
        <v>0</v>
      </c>
    </row>
    <row r="66">
      <c r="C66" s="7" t="b">
        <v>0</v>
      </c>
    </row>
    <row r="67">
      <c r="C67" s="7" t="b">
        <v>0</v>
      </c>
    </row>
    <row r="68">
      <c r="C68" s="7" t="b">
        <v>0</v>
      </c>
    </row>
    <row r="69">
      <c r="C69" s="7" t="b">
        <v>0</v>
      </c>
    </row>
    <row r="70">
      <c r="C70" s="7" t="b">
        <v>0</v>
      </c>
    </row>
    <row r="71">
      <c r="C71" s="7" t="b">
        <v>0</v>
      </c>
    </row>
    <row r="72">
      <c r="C72" s="7" t="b">
        <v>0</v>
      </c>
    </row>
    <row r="73">
      <c r="C73" s="7" t="b">
        <v>0</v>
      </c>
    </row>
    <row r="74">
      <c r="C74" s="7" t="b">
        <v>0</v>
      </c>
    </row>
    <row r="75">
      <c r="C75" s="7" t="b">
        <v>0</v>
      </c>
    </row>
    <row r="76">
      <c r="C76" s="7" t="b">
        <v>0</v>
      </c>
    </row>
    <row r="77">
      <c r="C77" s="7" t="b">
        <v>0</v>
      </c>
    </row>
    <row r="78">
      <c r="C78" s="7" t="b">
        <v>0</v>
      </c>
    </row>
    <row r="79">
      <c r="C79" s="7" t="b">
        <v>0</v>
      </c>
    </row>
    <row r="80">
      <c r="C80" s="7" t="b">
        <v>0</v>
      </c>
    </row>
    <row r="81">
      <c r="C81" s="7" t="b">
        <v>0</v>
      </c>
    </row>
    <row r="82">
      <c r="C82" s="7" t="b">
        <v>0</v>
      </c>
    </row>
    <row r="83">
      <c r="C83" s="7" t="b">
        <v>0</v>
      </c>
    </row>
    <row r="84">
      <c r="C84" s="7" t="b">
        <v>0</v>
      </c>
    </row>
    <row r="85">
      <c r="C85" s="7" t="b">
        <v>0</v>
      </c>
    </row>
    <row r="86">
      <c r="C86" s="7" t="b">
        <v>0</v>
      </c>
    </row>
    <row r="87">
      <c r="C87" s="7" t="b">
        <v>0</v>
      </c>
    </row>
    <row r="88">
      <c r="C88" s="7" t="b">
        <v>0</v>
      </c>
    </row>
    <row r="89">
      <c r="C89" s="7" t="b">
        <v>0</v>
      </c>
    </row>
    <row r="90">
      <c r="C90" s="7" t="b">
        <v>0</v>
      </c>
    </row>
    <row r="91">
      <c r="C91" s="7" t="b">
        <v>0</v>
      </c>
    </row>
    <row r="92">
      <c r="C92" s="7" t="b">
        <v>0</v>
      </c>
    </row>
    <row r="93">
      <c r="C93" s="7" t="b">
        <v>0</v>
      </c>
    </row>
    <row r="94">
      <c r="C94" s="7" t="b">
        <v>0</v>
      </c>
    </row>
    <row r="95">
      <c r="C95" s="7" t="b">
        <v>0</v>
      </c>
    </row>
    <row r="96">
      <c r="C96" s="7" t="b">
        <v>0</v>
      </c>
    </row>
    <row r="97">
      <c r="C97" s="7" t="b">
        <v>0</v>
      </c>
    </row>
    <row r="98">
      <c r="C98" s="7" t="b">
        <v>0</v>
      </c>
    </row>
    <row r="99">
      <c r="C99" s="7" t="b">
        <v>0</v>
      </c>
    </row>
    <row r="100">
      <c r="C100" s="7" t="b">
        <v>0</v>
      </c>
    </row>
    <row r="101">
      <c r="C101" s="7" t="b">
        <v>0</v>
      </c>
    </row>
    <row r="102">
      <c r="C102" s="7" t="b">
        <v>0</v>
      </c>
    </row>
    <row r="103">
      <c r="C103" s="7" t="b">
        <v>0</v>
      </c>
    </row>
    <row r="104">
      <c r="C104" s="7" t="b">
        <v>0</v>
      </c>
    </row>
    <row r="105">
      <c r="C105" s="7" t="b">
        <v>0</v>
      </c>
    </row>
    <row r="106">
      <c r="C106" s="7" t="b">
        <v>0</v>
      </c>
    </row>
    <row r="107">
      <c r="C107" s="7" t="b">
        <v>0</v>
      </c>
    </row>
    <row r="108">
      <c r="C108" s="7" t="b">
        <v>0</v>
      </c>
    </row>
    <row r="109">
      <c r="C109" s="7" t="b">
        <v>0</v>
      </c>
    </row>
    <row r="110">
      <c r="C110" s="7" t="b">
        <v>0</v>
      </c>
    </row>
    <row r="111">
      <c r="C111" s="7" t="b">
        <v>0</v>
      </c>
    </row>
    <row r="112">
      <c r="C112" s="7" t="b">
        <v>0</v>
      </c>
    </row>
    <row r="113">
      <c r="C113" s="7" t="b">
        <v>0</v>
      </c>
    </row>
    <row r="114">
      <c r="C114" s="7" t="b">
        <v>0</v>
      </c>
    </row>
    <row r="115">
      <c r="C115" s="7" t="b">
        <v>0</v>
      </c>
    </row>
    <row r="116">
      <c r="C116" s="7" t="b">
        <v>0</v>
      </c>
    </row>
    <row r="117">
      <c r="C117" s="7" t="b">
        <v>0</v>
      </c>
    </row>
    <row r="118">
      <c r="C118" s="7" t="b">
        <v>0</v>
      </c>
    </row>
    <row r="119">
      <c r="C119" s="7" t="b">
        <v>0</v>
      </c>
    </row>
    <row r="120">
      <c r="C120" s="7" t="b">
        <v>0</v>
      </c>
    </row>
    <row r="121">
      <c r="C121" s="7" t="b">
        <v>0</v>
      </c>
    </row>
    <row r="122">
      <c r="C122" s="7" t="b">
        <v>0</v>
      </c>
    </row>
    <row r="123">
      <c r="C123" s="7" t="b">
        <v>0</v>
      </c>
    </row>
    <row r="124">
      <c r="C124" s="7" t="b">
        <v>0</v>
      </c>
    </row>
    <row r="125">
      <c r="C125" s="7" t="b">
        <v>0</v>
      </c>
    </row>
    <row r="126">
      <c r="C126" s="7" t="b">
        <v>0</v>
      </c>
    </row>
    <row r="127">
      <c r="C127" s="7" t="b">
        <v>0</v>
      </c>
    </row>
    <row r="128">
      <c r="C128" s="7" t="b">
        <v>0</v>
      </c>
    </row>
    <row r="129">
      <c r="C129" s="7" t="b">
        <v>0</v>
      </c>
    </row>
    <row r="130">
      <c r="C130" s="7" t="b">
        <v>0</v>
      </c>
    </row>
    <row r="131">
      <c r="C131" s="7" t="b">
        <v>0</v>
      </c>
    </row>
    <row r="132">
      <c r="C132" s="7" t="b">
        <v>0</v>
      </c>
    </row>
    <row r="133">
      <c r="C133" s="7" t="b">
        <v>0</v>
      </c>
    </row>
    <row r="134">
      <c r="C134" s="7" t="b">
        <v>0</v>
      </c>
    </row>
    <row r="135">
      <c r="C135" s="7" t="b">
        <v>0</v>
      </c>
    </row>
    <row r="136">
      <c r="C136" s="7" t="b">
        <v>0</v>
      </c>
    </row>
    <row r="137">
      <c r="C137" s="7" t="b">
        <v>0</v>
      </c>
    </row>
    <row r="138">
      <c r="C138" s="7" t="b">
        <v>0</v>
      </c>
    </row>
    <row r="139">
      <c r="C139" s="7" t="b">
        <v>0</v>
      </c>
    </row>
    <row r="140">
      <c r="C140" s="7" t="b">
        <v>0</v>
      </c>
    </row>
    <row r="141">
      <c r="C141" s="7" t="b">
        <v>0</v>
      </c>
    </row>
    <row r="142">
      <c r="C142" s="7" t="b">
        <v>0</v>
      </c>
    </row>
    <row r="143">
      <c r="C143" s="7" t="b">
        <v>0</v>
      </c>
    </row>
    <row r="144">
      <c r="C144" s="7" t="b">
        <v>0</v>
      </c>
    </row>
    <row r="145">
      <c r="C145" s="7" t="b">
        <v>0</v>
      </c>
    </row>
    <row r="146">
      <c r="C146" s="7" t="b">
        <v>0</v>
      </c>
    </row>
    <row r="147">
      <c r="C147" s="7" t="b">
        <v>0</v>
      </c>
    </row>
    <row r="148">
      <c r="C148" s="7" t="b">
        <v>0</v>
      </c>
    </row>
    <row r="149">
      <c r="C149" s="7" t="b">
        <v>0</v>
      </c>
    </row>
    <row r="150">
      <c r="C150" s="7" t="b">
        <v>0</v>
      </c>
    </row>
    <row r="151">
      <c r="C151" s="7" t="b">
        <v>0</v>
      </c>
    </row>
    <row r="152">
      <c r="C152" s="7" t="b">
        <v>0</v>
      </c>
    </row>
    <row r="153">
      <c r="C153" s="7" t="b">
        <v>0</v>
      </c>
    </row>
    <row r="154">
      <c r="C154" s="7" t="b">
        <v>0</v>
      </c>
    </row>
    <row r="155">
      <c r="C155" s="7" t="b">
        <v>0</v>
      </c>
    </row>
    <row r="156">
      <c r="C156" s="7" t="b">
        <v>0</v>
      </c>
    </row>
    <row r="157">
      <c r="C157" s="7" t="b">
        <v>0</v>
      </c>
    </row>
    <row r="158">
      <c r="C158" s="7" t="b">
        <v>0</v>
      </c>
    </row>
    <row r="159">
      <c r="C159" s="7" t="b">
        <v>0</v>
      </c>
    </row>
    <row r="160">
      <c r="C160" s="7" t="b">
        <v>0</v>
      </c>
    </row>
    <row r="161">
      <c r="C161" s="7" t="b">
        <v>0</v>
      </c>
    </row>
    <row r="162">
      <c r="C162" s="7" t="b">
        <v>0</v>
      </c>
    </row>
    <row r="163">
      <c r="C163" s="7" t="b">
        <v>0</v>
      </c>
    </row>
    <row r="164">
      <c r="C164" s="7" t="b">
        <v>0</v>
      </c>
    </row>
    <row r="165">
      <c r="C165" s="7" t="b">
        <v>0</v>
      </c>
    </row>
    <row r="166">
      <c r="C166" s="7" t="b">
        <v>0</v>
      </c>
    </row>
    <row r="167">
      <c r="C167" s="7" t="b">
        <v>0</v>
      </c>
    </row>
    <row r="168">
      <c r="C168" s="7" t="b">
        <v>0</v>
      </c>
    </row>
    <row r="169">
      <c r="C169" s="7" t="b">
        <v>0</v>
      </c>
    </row>
    <row r="170">
      <c r="C170" s="7" t="b">
        <v>0</v>
      </c>
    </row>
    <row r="171">
      <c r="C171" s="7" t="b">
        <v>0</v>
      </c>
    </row>
    <row r="172">
      <c r="C172" s="7" t="b">
        <v>0</v>
      </c>
    </row>
    <row r="173">
      <c r="C173" s="7" t="b">
        <v>0</v>
      </c>
    </row>
    <row r="174">
      <c r="C174" s="7" t="b">
        <v>0</v>
      </c>
    </row>
    <row r="175">
      <c r="C175" s="7" t="b">
        <v>0</v>
      </c>
    </row>
    <row r="176">
      <c r="C176" s="7" t="b">
        <v>0</v>
      </c>
    </row>
    <row r="177">
      <c r="C177" s="7" t="b">
        <v>0</v>
      </c>
    </row>
    <row r="178">
      <c r="C178" s="7" t="b">
        <v>0</v>
      </c>
    </row>
    <row r="179">
      <c r="C179" s="7" t="b">
        <v>0</v>
      </c>
    </row>
    <row r="180">
      <c r="C180" s="7" t="b">
        <v>0</v>
      </c>
    </row>
    <row r="181">
      <c r="C181" s="7" t="b">
        <v>0</v>
      </c>
    </row>
    <row r="182">
      <c r="C182" s="7" t="b">
        <v>0</v>
      </c>
    </row>
    <row r="183">
      <c r="C183" s="7" t="b">
        <v>0</v>
      </c>
    </row>
    <row r="184">
      <c r="C184" s="7" t="b">
        <v>0</v>
      </c>
    </row>
    <row r="185">
      <c r="C185" s="7" t="b">
        <v>0</v>
      </c>
    </row>
    <row r="186">
      <c r="C186" s="7" t="b">
        <v>0</v>
      </c>
    </row>
    <row r="187">
      <c r="C187" s="7" t="b">
        <v>0</v>
      </c>
    </row>
    <row r="188">
      <c r="C188" s="7" t="b">
        <v>0</v>
      </c>
    </row>
    <row r="189">
      <c r="C189" s="7" t="b">
        <v>0</v>
      </c>
    </row>
    <row r="190">
      <c r="C190" s="7" t="b">
        <v>0</v>
      </c>
    </row>
    <row r="191">
      <c r="C191" s="7" t="b">
        <v>0</v>
      </c>
    </row>
    <row r="192">
      <c r="C192" s="7" t="b">
        <v>0</v>
      </c>
    </row>
    <row r="193">
      <c r="C193" s="7" t="b">
        <v>0</v>
      </c>
    </row>
    <row r="194">
      <c r="C194" s="7" t="b">
        <v>0</v>
      </c>
    </row>
    <row r="195">
      <c r="C195" s="7" t="b">
        <v>0</v>
      </c>
    </row>
    <row r="196">
      <c r="C196" s="7" t="b">
        <v>0</v>
      </c>
    </row>
    <row r="197">
      <c r="C197" s="7" t="b">
        <v>0</v>
      </c>
    </row>
    <row r="198">
      <c r="C198" s="7" t="b">
        <v>0</v>
      </c>
    </row>
    <row r="199">
      <c r="C199" s="7" t="b">
        <v>0</v>
      </c>
    </row>
    <row r="200">
      <c r="C200" s="7" t="b">
        <v>0</v>
      </c>
    </row>
    <row r="201">
      <c r="C201" s="7" t="b">
        <v>0</v>
      </c>
    </row>
    <row r="202">
      <c r="C202" s="7" t="b">
        <v>0</v>
      </c>
    </row>
    <row r="203">
      <c r="C203" s="7" t="b">
        <v>0</v>
      </c>
    </row>
    <row r="204">
      <c r="C204" s="7" t="b">
        <v>0</v>
      </c>
    </row>
    <row r="205">
      <c r="C205" s="7" t="b">
        <v>0</v>
      </c>
    </row>
    <row r="206">
      <c r="C206" s="7" t="b">
        <v>0</v>
      </c>
    </row>
    <row r="207">
      <c r="C207" s="7" t="b">
        <v>0</v>
      </c>
    </row>
    <row r="208">
      <c r="C208" s="7" t="b">
        <v>0</v>
      </c>
    </row>
    <row r="209">
      <c r="C209" s="7" t="b">
        <v>0</v>
      </c>
    </row>
    <row r="210">
      <c r="C210" s="7" t="b">
        <v>0</v>
      </c>
    </row>
    <row r="211">
      <c r="C211" s="7" t="b">
        <v>0</v>
      </c>
    </row>
    <row r="212">
      <c r="C212" s="7" t="b">
        <v>0</v>
      </c>
    </row>
    <row r="213">
      <c r="C213" s="7" t="b">
        <v>0</v>
      </c>
    </row>
    <row r="214">
      <c r="C214" s="7" t="b">
        <v>0</v>
      </c>
    </row>
    <row r="215">
      <c r="C215" s="7" t="b">
        <v>0</v>
      </c>
    </row>
    <row r="216">
      <c r="C216" s="7" t="b">
        <v>0</v>
      </c>
    </row>
    <row r="217">
      <c r="C217" s="7" t="b">
        <v>0</v>
      </c>
    </row>
    <row r="218">
      <c r="C218" s="7" t="b">
        <v>0</v>
      </c>
    </row>
    <row r="219">
      <c r="C219" s="7" t="b">
        <v>0</v>
      </c>
    </row>
    <row r="220">
      <c r="C220" s="7" t="b">
        <v>0</v>
      </c>
    </row>
    <row r="221">
      <c r="C221" s="7" t="b">
        <v>0</v>
      </c>
    </row>
    <row r="222">
      <c r="C222" s="7" t="b">
        <v>0</v>
      </c>
    </row>
    <row r="223">
      <c r="C223" s="7" t="b">
        <v>0</v>
      </c>
    </row>
    <row r="224">
      <c r="C224" s="7" t="b">
        <v>0</v>
      </c>
    </row>
    <row r="225">
      <c r="C225" s="7" t="b">
        <v>0</v>
      </c>
    </row>
    <row r="226">
      <c r="C226" s="7" t="b">
        <v>0</v>
      </c>
    </row>
    <row r="227">
      <c r="C227" s="7" t="b">
        <v>0</v>
      </c>
    </row>
    <row r="228">
      <c r="C228" s="7" t="b">
        <v>0</v>
      </c>
    </row>
    <row r="229">
      <c r="C229" s="7" t="b">
        <v>0</v>
      </c>
    </row>
    <row r="230">
      <c r="C230" s="7" t="b">
        <v>0</v>
      </c>
    </row>
    <row r="231">
      <c r="C231" s="7" t="b">
        <v>0</v>
      </c>
    </row>
    <row r="232">
      <c r="C232" s="7" t="b">
        <v>0</v>
      </c>
    </row>
    <row r="233">
      <c r="C233" s="7" t="b">
        <v>0</v>
      </c>
    </row>
    <row r="234">
      <c r="C234" s="7" t="b">
        <v>0</v>
      </c>
    </row>
    <row r="235">
      <c r="C235" s="7" t="b">
        <v>0</v>
      </c>
    </row>
    <row r="236">
      <c r="C236" s="7" t="b">
        <v>0</v>
      </c>
    </row>
    <row r="237">
      <c r="C237" s="7" t="b">
        <v>0</v>
      </c>
    </row>
    <row r="238">
      <c r="C238" s="7" t="b">
        <v>0</v>
      </c>
    </row>
    <row r="239">
      <c r="C239" s="7" t="b">
        <v>0</v>
      </c>
    </row>
    <row r="240">
      <c r="C240" s="7" t="b">
        <v>0</v>
      </c>
    </row>
    <row r="241">
      <c r="C241" s="7" t="b">
        <v>0</v>
      </c>
    </row>
    <row r="242">
      <c r="C242" s="7" t="b">
        <v>0</v>
      </c>
    </row>
    <row r="243">
      <c r="C243" s="7" t="b">
        <v>0</v>
      </c>
    </row>
    <row r="244">
      <c r="C244" s="7" t="b">
        <v>0</v>
      </c>
    </row>
    <row r="245">
      <c r="C245" s="7" t="b">
        <v>0</v>
      </c>
    </row>
    <row r="246">
      <c r="C246" s="7" t="b">
        <v>0</v>
      </c>
    </row>
    <row r="247">
      <c r="C247" s="7" t="b">
        <v>0</v>
      </c>
    </row>
    <row r="248">
      <c r="C248" s="7" t="b">
        <v>0</v>
      </c>
    </row>
    <row r="249">
      <c r="C249" s="7" t="b">
        <v>0</v>
      </c>
    </row>
    <row r="250">
      <c r="C250" s="7" t="b">
        <v>0</v>
      </c>
    </row>
    <row r="251">
      <c r="C251" s="7" t="b">
        <v>0</v>
      </c>
    </row>
    <row r="252">
      <c r="C252" s="7" t="b">
        <v>0</v>
      </c>
    </row>
    <row r="253">
      <c r="C253" s="7" t="b">
        <v>0</v>
      </c>
    </row>
    <row r="254">
      <c r="C254" s="7" t="b">
        <v>0</v>
      </c>
    </row>
    <row r="255">
      <c r="C255" s="7" t="b">
        <v>0</v>
      </c>
    </row>
    <row r="256">
      <c r="C256" s="7" t="b">
        <v>0</v>
      </c>
    </row>
    <row r="257">
      <c r="C257" s="7" t="b">
        <v>0</v>
      </c>
    </row>
    <row r="258">
      <c r="C258" s="7" t="b">
        <v>0</v>
      </c>
    </row>
    <row r="259">
      <c r="C259" s="7" t="b">
        <v>0</v>
      </c>
    </row>
    <row r="260">
      <c r="C260" s="7" t="b">
        <v>0</v>
      </c>
    </row>
    <row r="261">
      <c r="C261" s="7" t="b">
        <v>0</v>
      </c>
    </row>
    <row r="262">
      <c r="C262" s="7" t="b">
        <v>0</v>
      </c>
    </row>
    <row r="263">
      <c r="C263" s="7" t="b">
        <v>0</v>
      </c>
    </row>
    <row r="264">
      <c r="C264" s="7" t="b">
        <v>0</v>
      </c>
    </row>
    <row r="265">
      <c r="C265" s="7" t="b">
        <v>0</v>
      </c>
    </row>
    <row r="266">
      <c r="C266" s="7" t="b">
        <v>0</v>
      </c>
    </row>
    <row r="267">
      <c r="C267" s="7" t="b">
        <v>0</v>
      </c>
    </row>
    <row r="268">
      <c r="C268" s="7" t="b">
        <v>0</v>
      </c>
    </row>
    <row r="269">
      <c r="C269" s="7" t="b">
        <v>0</v>
      </c>
    </row>
    <row r="270">
      <c r="C270" s="7" t="b">
        <v>0</v>
      </c>
    </row>
    <row r="271">
      <c r="C271" s="7" t="b">
        <v>0</v>
      </c>
    </row>
    <row r="272">
      <c r="C272" s="7" t="b">
        <v>0</v>
      </c>
    </row>
    <row r="273">
      <c r="C273" s="7" t="b">
        <v>0</v>
      </c>
    </row>
    <row r="274">
      <c r="C274" s="7" t="b">
        <v>0</v>
      </c>
    </row>
    <row r="275">
      <c r="C275" s="7" t="b">
        <v>0</v>
      </c>
    </row>
    <row r="276">
      <c r="C276" s="7" t="b">
        <v>0</v>
      </c>
    </row>
    <row r="277">
      <c r="C277" s="7" t="b">
        <v>0</v>
      </c>
    </row>
    <row r="278">
      <c r="C278" s="7" t="b">
        <v>0</v>
      </c>
    </row>
    <row r="279">
      <c r="C279" s="7" t="b">
        <v>0</v>
      </c>
    </row>
    <row r="280">
      <c r="C280" s="7" t="b">
        <v>0</v>
      </c>
    </row>
    <row r="281">
      <c r="C281" s="7" t="b">
        <v>0</v>
      </c>
    </row>
    <row r="282">
      <c r="C282" s="7" t="b">
        <v>0</v>
      </c>
    </row>
    <row r="283">
      <c r="C283" s="7" t="b">
        <v>0</v>
      </c>
    </row>
    <row r="284">
      <c r="C284" s="7" t="b">
        <v>0</v>
      </c>
    </row>
    <row r="285">
      <c r="C285" s="7" t="b">
        <v>0</v>
      </c>
    </row>
    <row r="286">
      <c r="C286" s="7" t="b">
        <v>0</v>
      </c>
    </row>
    <row r="287">
      <c r="C287" s="7" t="b">
        <v>0</v>
      </c>
    </row>
    <row r="288">
      <c r="C288" s="7" t="b">
        <v>0</v>
      </c>
    </row>
    <row r="289">
      <c r="C289" s="7" t="b">
        <v>0</v>
      </c>
    </row>
    <row r="290">
      <c r="C290" s="7" t="b">
        <v>0</v>
      </c>
    </row>
    <row r="291">
      <c r="C291" s="7" t="b">
        <v>0</v>
      </c>
    </row>
    <row r="292">
      <c r="C292" s="7" t="b">
        <v>0</v>
      </c>
    </row>
    <row r="293">
      <c r="C293" s="7" t="b">
        <v>0</v>
      </c>
    </row>
    <row r="294">
      <c r="C294" s="7" t="b">
        <v>0</v>
      </c>
    </row>
    <row r="295">
      <c r="C295" s="7" t="b">
        <v>0</v>
      </c>
    </row>
    <row r="296">
      <c r="C296" s="7" t="b">
        <v>0</v>
      </c>
    </row>
    <row r="297">
      <c r="C297" s="7" t="b">
        <v>0</v>
      </c>
    </row>
    <row r="298">
      <c r="C298" s="7" t="b">
        <v>0</v>
      </c>
    </row>
    <row r="299">
      <c r="C299" s="7" t="b">
        <v>0</v>
      </c>
    </row>
    <row r="300">
      <c r="C300" s="7" t="b">
        <v>0</v>
      </c>
    </row>
    <row r="301">
      <c r="C301" s="7" t="b">
        <v>0</v>
      </c>
    </row>
    <row r="302">
      <c r="C302" s="7" t="b">
        <v>0</v>
      </c>
    </row>
    <row r="303">
      <c r="C303" s="7" t="b">
        <v>0</v>
      </c>
    </row>
    <row r="304">
      <c r="C304" s="7" t="b">
        <v>0</v>
      </c>
    </row>
    <row r="305">
      <c r="C305" s="7" t="b">
        <v>0</v>
      </c>
    </row>
    <row r="306">
      <c r="C306" s="7" t="b">
        <v>0</v>
      </c>
    </row>
    <row r="307">
      <c r="C307" s="7" t="b">
        <v>0</v>
      </c>
    </row>
    <row r="308">
      <c r="C308" s="7" t="b">
        <v>0</v>
      </c>
    </row>
    <row r="309">
      <c r="C309" s="7" t="b">
        <v>0</v>
      </c>
    </row>
    <row r="310">
      <c r="C310" s="7" t="b">
        <v>0</v>
      </c>
    </row>
    <row r="311">
      <c r="C311" s="7" t="b">
        <v>0</v>
      </c>
    </row>
    <row r="312">
      <c r="C312" s="7" t="b">
        <v>0</v>
      </c>
    </row>
    <row r="313">
      <c r="C313" s="7" t="b">
        <v>0</v>
      </c>
    </row>
    <row r="314">
      <c r="C314" s="7" t="b">
        <v>0</v>
      </c>
    </row>
    <row r="315">
      <c r="C315" s="7" t="b">
        <v>0</v>
      </c>
    </row>
    <row r="316">
      <c r="C316" s="7" t="b">
        <v>0</v>
      </c>
    </row>
    <row r="317">
      <c r="C317" s="7" t="b">
        <v>0</v>
      </c>
    </row>
    <row r="318">
      <c r="C318" s="7" t="b">
        <v>0</v>
      </c>
    </row>
    <row r="319">
      <c r="C319" s="7" t="b">
        <v>0</v>
      </c>
    </row>
    <row r="320">
      <c r="C320" s="7" t="b">
        <v>0</v>
      </c>
    </row>
    <row r="321">
      <c r="C321" s="7" t="b">
        <v>0</v>
      </c>
    </row>
    <row r="322">
      <c r="C322" s="7" t="b">
        <v>0</v>
      </c>
    </row>
    <row r="323">
      <c r="C323" s="7" t="b">
        <v>0</v>
      </c>
    </row>
    <row r="324">
      <c r="C324" s="7" t="b">
        <v>0</v>
      </c>
    </row>
    <row r="325">
      <c r="C325" s="7" t="b">
        <v>0</v>
      </c>
    </row>
    <row r="326">
      <c r="C326" s="7" t="b">
        <v>0</v>
      </c>
    </row>
    <row r="327">
      <c r="C327" s="7" t="b">
        <v>0</v>
      </c>
    </row>
    <row r="328">
      <c r="C328" s="7" t="b">
        <v>0</v>
      </c>
    </row>
    <row r="329">
      <c r="C329" s="7" t="b">
        <v>0</v>
      </c>
    </row>
    <row r="330">
      <c r="C330" s="7" t="b">
        <v>0</v>
      </c>
    </row>
    <row r="331">
      <c r="C331" s="7" t="b">
        <v>0</v>
      </c>
    </row>
    <row r="332">
      <c r="C332" s="7" t="b">
        <v>0</v>
      </c>
    </row>
    <row r="333">
      <c r="C333" s="7" t="b">
        <v>0</v>
      </c>
    </row>
    <row r="334">
      <c r="C334" s="7" t="b">
        <v>0</v>
      </c>
    </row>
    <row r="335">
      <c r="C335" s="7" t="b">
        <v>0</v>
      </c>
    </row>
    <row r="336">
      <c r="C336" s="7" t="b">
        <v>0</v>
      </c>
    </row>
    <row r="337">
      <c r="C337" s="7" t="b">
        <v>0</v>
      </c>
    </row>
    <row r="338">
      <c r="C338" s="7" t="b">
        <v>0</v>
      </c>
    </row>
    <row r="339">
      <c r="C339" s="7" t="b">
        <v>0</v>
      </c>
    </row>
    <row r="340">
      <c r="C340" s="7" t="b">
        <v>0</v>
      </c>
    </row>
    <row r="341">
      <c r="C341" s="7" t="b">
        <v>0</v>
      </c>
    </row>
    <row r="342">
      <c r="C342" s="7" t="b">
        <v>0</v>
      </c>
    </row>
    <row r="343">
      <c r="C343" s="7" t="b">
        <v>0</v>
      </c>
    </row>
    <row r="344">
      <c r="C344" s="7" t="b">
        <v>0</v>
      </c>
    </row>
    <row r="345">
      <c r="C345" s="7" t="b">
        <v>0</v>
      </c>
    </row>
    <row r="346">
      <c r="C346" s="7" t="b">
        <v>0</v>
      </c>
    </row>
    <row r="347">
      <c r="C347" s="7" t="b">
        <v>0</v>
      </c>
    </row>
    <row r="348">
      <c r="C348" s="7" t="b">
        <v>0</v>
      </c>
    </row>
    <row r="349">
      <c r="C349" s="7" t="b">
        <v>0</v>
      </c>
    </row>
    <row r="350">
      <c r="C350" s="7" t="b">
        <v>0</v>
      </c>
    </row>
    <row r="351">
      <c r="C351" s="7" t="b">
        <v>0</v>
      </c>
    </row>
    <row r="352">
      <c r="C352" s="7" t="b">
        <v>0</v>
      </c>
    </row>
    <row r="353">
      <c r="C353" s="7" t="b">
        <v>0</v>
      </c>
    </row>
    <row r="354">
      <c r="C354" s="7" t="b">
        <v>0</v>
      </c>
    </row>
    <row r="355">
      <c r="C355" s="7" t="b">
        <v>0</v>
      </c>
    </row>
    <row r="356">
      <c r="C356" s="7" t="b">
        <v>0</v>
      </c>
    </row>
    <row r="357">
      <c r="C357" s="7" t="b">
        <v>0</v>
      </c>
    </row>
    <row r="358">
      <c r="C358" s="7" t="b">
        <v>0</v>
      </c>
    </row>
    <row r="359">
      <c r="C359" s="7" t="b">
        <v>0</v>
      </c>
    </row>
    <row r="360">
      <c r="C360" s="7" t="b">
        <v>0</v>
      </c>
    </row>
    <row r="361">
      <c r="C361" s="7" t="b">
        <v>0</v>
      </c>
    </row>
    <row r="362">
      <c r="C362" s="7" t="b">
        <v>0</v>
      </c>
    </row>
    <row r="363">
      <c r="C363" s="7" t="b">
        <v>0</v>
      </c>
    </row>
    <row r="364">
      <c r="C364" s="7" t="b">
        <v>0</v>
      </c>
    </row>
    <row r="365">
      <c r="C365" s="7" t="b">
        <v>0</v>
      </c>
    </row>
    <row r="366">
      <c r="C366" s="7" t="b">
        <v>0</v>
      </c>
    </row>
    <row r="367">
      <c r="C367" s="7" t="b">
        <v>0</v>
      </c>
    </row>
    <row r="368">
      <c r="C368" s="7" t="b">
        <v>0</v>
      </c>
    </row>
    <row r="369">
      <c r="C369" s="7" t="b">
        <v>0</v>
      </c>
    </row>
    <row r="370">
      <c r="C370" s="7" t="b">
        <v>0</v>
      </c>
    </row>
    <row r="371">
      <c r="C371" s="7" t="b">
        <v>0</v>
      </c>
    </row>
    <row r="372">
      <c r="C372" s="7" t="b">
        <v>0</v>
      </c>
    </row>
    <row r="373">
      <c r="C373" s="7" t="b">
        <v>0</v>
      </c>
    </row>
    <row r="374">
      <c r="C374" s="7" t="b">
        <v>0</v>
      </c>
    </row>
    <row r="375">
      <c r="C375" s="7" t="b">
        <v>0</v>
      </c>
    </row>
    <row r="376">
      <c r="C376" s="7" t="b">
        <v>0</v>
      </c>
    </row>
    <row r="377">
      <c r="C377" s="7" t="b">
        <v>0</v>
      </c>
    </row>
    <row r="378">
      <c r="C378" s="7" t="b">
        <v>0</v>
      </c>
    </row>
    <row r="379">
      <c r="C379" s="7" t="b">
        <v>0</v>
      </c>
    </row>
    <row r="380">
      <c r="C380" s="7" t="b">
        <v>0</v>
      </c>
    </row>
    <row r="381">
      <c r="C381" s="7" t="b">
        <v>0</v>
      </c>
    </row>
    <row r="382">
      <c r="C382" s="7" t="b">
        <v>0</v>
      </c>
    </row>
    <row r="383">
      <c r="C383" s="7" t="b">
        <v>0</v>
      </c>
    </row>
    <row r="384">
      <c r="C384" s="7" t="b">
        <v>0</v>
      </c>
    </row>
    <row r="385">
      <c r="C385" s="7" t="b">
        <v>0</v>
      </c>
    </row>
    <row r="386">
      <c r="C386" s="7" t="b">
        <v>0</v>
      </c>
    </row>
    <row r="387">
      <c r="C387" s="7" t="b">
        <v>0</v>
      </c>
    </row>
    <row r="388">
      <c r="C388" s="7" t="b">
        <v>0</v>
      </c>
    </row>
    <row r="389">
      <c r="C389" s="7" t="b">
        <v>0</v>
      </c>
    </row>
    <row r="390">
      <c r="C390" s="7" t="b">
        <v>0</v>
      </c>
    </row>
    <row r="391">
      <c r="C391" s="7" t="b">
        <v>0</v>
      </c>
    </row>
    <row r="392">
      <c r="C392" s="7" t="b">
        <v>0</v>
      </c>
    </row>
    <row r="393">
      <c r="C393" s="7" t="b">
        <v>0</v>
      </c>
    </row>
    <row r="394">
      <c r="C394" s="7" t="b">
        <v>0</v>
      </c>
    </row>
    <row r="395">
      <c r="C395" s="7" t="b">
        <v>0</v>
      </c>
    </row>
    <row r="396">
      <c r="C396" s="7" t="b">
        <v>0</v>
      </c>
    </row>
    <row r="397">
      <c r="C397" s="7" t="b">
        <v>0</v>
      </c>
    </row>
    <row r="398">
      <c r="C398" s="7" t="b">
        <v>0</v>
      </c>
    </row>
    <row r="399">
      <c r="C399" s="7" t="b">
        <v>0</v>
      </c>
    </row>
    <row r="400">
      <c r="C400" s="7" t="b">
        <v>0</v>
      </c>
    </row>
    <row r="401">
      <c r="C401" s="7" t="b">
        <v>0</v>
      </c>
    </row>
    <row r="402">
      <c r="C402" s="7" t="b">
        <v>0</v>
      </c>
    </row>
    <row r="403">
      <c r="C403" s="7" t="b">
        <v>0</v>
      </c>
    </row>
    <row r="404">
      <c r="C404" s="7" t="b">
        <v>0</v>
      </c>
    </row>
    <row r="405">
      <c r="C405" s="7" t="b">
        <v>0</v>
      </c>
    </row>
    <row r="406">
      <c r="C406" s="7" t="b">
        <v>0</v>
      </c>
    </row>
    <row r="407">
      <c r="C407" s="7" t="b">
        <v>0</v>
      </c>
    </row>
    <row r="408">
      <c r="C408" s="7" t="b">
        <v>0</v>
      </c>
    </row>
    <row r="409">
      <c r="C409" s="7" t="b">
        <v>0</v>
      </c>
    </row>
    <row r="410">
      <c r="C410" s="7" t="b">
        <v>0</v>
      </c>
    </row>
    <row r="411">
      <c r="C411" s="7" t="b">
        <v>0</v>
      </c>
    </row>
    <row r="412">
      <c r="C412" s="7" t="b">
        <v>0</v>
      </c>
    </row>
    <row r="413">
      <c r="C413" s="7" t="b">
        <v>0</v>
      </c>
    </row>
    <row r="414">
      <c r="C414" s="7" t="b">
        <v>0</v>
      </c>
    </row>
    <row r="415">
      <c r="C415" s="7" t="b">
        <v>0</v>
      </c>
    </row>
    <row r="416">
      <c r="C416" s="7" t="b">
        <v>0</v>
      </c>
    </row>
    <row r="417">
      <c r="C417" s="7" t="b">
        <v>0</v>
      </c>
    </row>
    <row r="418">
      <c r="C418" s="7" t="b">
        <v>0</v>
      </c>
    </row>
    <row r="419">
      <c r="C419" s="7" t="b">
        <v>0</v>
      </c>
    </row>
    <row r="420">
      <c r="C420" s="7" t="b">
        <v>0</v>
      </c>
    </row>
    <row r="421">
      <c r="C421" s="7" t="b">
        <v>0</v>
      </c>
    </row>
    <row r="422">
      <c r="C422" s="7" t="b">
        <v>0</v>
      </c>
    </row>
    <row r="423">
      <c r="C423" s="7" t="b">
        <v>0</v>
      </c>
    </row>
    <row r="424">
      <c r="C424" s="7" t="b">
        <v>0</v>
      </c>
    </row>
    <row r="425">
      <c r="C425" s="7" t="b">
        <v>0</v>
      </c>
    </row>
    <row r="426">
      <c r="C426" s="7" t="b">
        <v>0</v>
      </c>
    </row>
    <row r="427">
      <c r="C427" s="7" t="b">
        <v>0</v>
      </c>
    </row>
    <row r="428">
      <c r="C428" s="7" t="b">
        <v>0</v>
      </c>
    </row>
    <row r="429">
      <c r="C429" s="7" t="b">
        <v>0</v>
      </c>
    </row>
    <row r="430">
      <c r="C430" s="7" t="b">
        <v>0</v>
      </c>
    </row>
    <row r="431">
      <c r="C431" s="7" t="b">
        <v>0</v>
      </c>
    </row>
    <row r="432">
      <c r="C432" s="7" t="b">
        <v>0</v>
      </c>
    </row>
    <row r="433">
      <c r="C433" s="7" t="b">
        <v>0</v>
      </c>
    </row>
    <row r="434">
      <c r="C434" s="7" t="b">
        <v>0</v>
      </c>
    </row>
    <row r="435">
      <c r="C435" s="7" t="b">
        <v>0</v>
      </c>
    </row>
    <row r="436">
      <c r="C436" s="7" t="b">
        <v>0</v>
      </c>
    </row>
    <row r="437">
      <c r="C437" s="7" t="b">
        <v>0</v>
      </c>
    </row>
    <row r="438">
      <c r="C438" s="7" t="b">
        <v>0</v>
      </c>
    </row>
    <row r="439">
      <c r="C439" s="7" t="b">
        <v>0</v>
      </c>
    </row>
    <row r="440">
      <c r="C440" s="7" t="b">
        <v>0</v>
      </c>
    </row>
    <row r="441">
      <c r="C441" s="7" t="b">
        <v>0</v>
      </c>
    </row>
    <row r="442">
      <c r="C442" s="7" t="b">
        <v>0</v>
      </c>
    </row>
    <row r="443">
      <c r="C443" s="7" t="b">
        <v>0</v>
      </c>
    </row>
    <row r="444">
      <c r="C444" s="7" t="b">
        <v>0</v>
      </c>
    </row>
    <row r="445">
      <c r="C445" s="7" t="b">
        <v>0</v>
      </c>
    </row>
    <row r="446">
      <c r="C446" s="7" t="b">
        <v>0</v>
      </c>
    </row>
    <row r="447">
      <c r="C447" s="7" t="b">
        <v>0</v>
      </c>
    </row>
    <row r="448">
      <c r="C448" s="7" t="b">
        <v>0</v>
      </c>
    </row>
    <row r="449">
      <c r="C449" s="7" t="b">
        <v>0</v>
      </c>
    </row>
    <row r="450">
      <c r="C450" s="7" t="b">
        <v>0</v>
      </c>
    </row>
    <row r="451">
      <c r="C451" s="7" t="b">
        <v>0</v>
      </c>
    </row>
    <row r="452">
      <c r="C452" s="7" t="b">
        <v>0</v>
      </c>
    </row>
    <row r="453">
      <c r="C453" s="7" t="b">
        <v>0</v>
      </c>
    </row>
    <row r="454">
      <c r="C454" s="7" t="b">
        <v>0</v>
      </c>
    </row>
    <row r="455">
      <c r="C455" s="7" t="b">
        <v>0</v>
      </c>
    </row>
    <row r="456">
      <c r="C456" s="7" t="b">
        <v>0</v>
      </c>
    </row>
    <row r="457">
      <c r="C457" s="7" t="b">
        <v>0</v>
      </c>
    </row>
    <row r="458">
      <c r="C458" s="7" t="b">
        <v>0</v>
      </c>
    </row>
    <row r="459">
      <c r="C459" s="7" t="b">
        <v>0</v>
      </c>
    </row>
    <row r="460">
      <c r="C460" s="7" t="b">
        <v>0</v>
      </c>
    </row>
    <row r="461">
      <c r="C461" s="7" t="b">
        <v>0</v>
      </c>
    </row>
    <row r="462">
      <c r="C462" s="7" t="b">
        <v>0</v>
      </c>
    </row>
    <row r="463">
      <c r="C463" s="7" t="b">
        <v>0</v>
      </c>
    </row>
    <row r="464">
      <c r="C464" s="7" t="b">
        <v>0</v>
      </c>
    </row>
    <row r="465">
      <c r="C465" s="7" t="b">
        <v>0</v>
      </c>
    </row>
    <row r="466">
      <c r="C466" s="7" t="b">
        <v>0</v>
      </c>
    </row>
    <row r="467">
      <c r="C467" s="7" t="b">
        <v>0</v>
      </c>
    </row>
    <row r="468">
      <c r="C468" s="7" t="b">
        <v>0</v>
      </c>
    </row>
    <row r="469">
      <c r="C469" s="7" t="b">
        <v>0</v>
      </c>
    </row>
    <row r="470">
      <c r="C470" s="7" t="b">
        <v>0</v>
      </c>
    </row>
    <row r="471">
      <c r="C471" s="7" t="b">
        <v>0</v>
      </c>
    </row>
    <row r="472">
      <c r="C472" s="7" t="b">
        <v>0</v>
      </c>
    </row>
    <row r="473">
      <c r="C473" s="7" t="b">
        <v>0</v>
      </c>
    </row>
    <row r="474">
      <c r="C474" s="7" t="b">
        <v>0</v>
      </c>
    </row>
    <row r="475">
      <c r="C475" s="7" t="b">
        <v>0</v>
      </c>
    </row>
    <row r="476">
      <c r="C476" s="7" t="b">
        <v>0</v>
      </c>
    </row>
    <row r="477">
      <c r="C477" s="7" t="b">
        <v>0</v>
      </c>
    </row>
    <row r="478">
      <c r="C478" s="7" t="b">
        <v>0</v>
      </c>
    </row>
    <row r="479">
      <c r="C479" s="7" t="b">
        <v>0</v>
      </c>
    </row>
    <row r="480">
      <c r="C480" s="7" t="b">
        <v>0</v>
      </c>
    </row>
    <row r="481">
      <c r="C481" s="7" t="b">
        <v>0</v>
      </c>
    </row>
    <row r="482">
      <c r="C482" s="7" t="b">
        <v>0</v>
      </c>
    </row>
    <row r="483">
      <c r="C483" s="7" t="b">
        <v>0</v>
      </c>
    </row>
    <row r="484">
      <c r="C484" s="7" t="b">
        <v>0</v>
      </c>
    </row>
    <row r="485">
      <c r="C485" s="7" t="b">
        <v>0</v>
      </c>
    </row>
    <row r="486">
      <c r="C486" s="7" t="b">
        <v>0</v>
      </c>
    </row>
    <row r="487">
      <c r="C487" s="7" t="b">
        <v>0</v>
      </c>
    </row>
    <row r="488">
      <c r="C488" s="7" t="b">
        <v>0</v>
      </c>
    </row>
    <row r="489">
      <c r="C489" s="7" t="b">
        <v>0</v>
      </c>
    </row>
    <row r="490">
      <c r="C490" s="7" t="b">
        <v>0</v>
      </c>
    </row>
    <row r="491">
      <c r="C491" s="7" t="b">
        <v>0</v>
      </c>
    </row>
    <row r="492">
      <c r="C492" s="7" t="b">
        <v>0</v>
      </c>
    </row>
    <row r="493">
      <c r="C493" s="7" t="b">
        <v>0</v>
      </c>
    </row>
    <row r="494">
      <c r="C494" s="7" t="b">
        <v>0</v>
      </c>
    </row>
    <row r="495">
      <c r="C495" s="7" t="b">
        <v>0</v>
      </c>
    </row>
    <row r="496">
      <c r="C496" s="7" t="b">
        <v>0</v>
      </c>
    </row>
    <row r="497">
      <c r="C497" s="7" t="b">
        <v>0</v>
      </c>
    </row>
    <row r="498">
      <c r="C498" s="7" t="b">
        <v>0</v>
      </c>
    </row>
    <row r="499">
      <c r="C499" s="7" t="b">
        <v>0</v>
      </c>
    </row>
    <row r="500">
      <c r="C500" s="7" t="b">
        <v>0</v>
      </c>
    </row>
    <row r="501">
      <c r="C501" s="7" t="b">
        <v>0</v>
      </c>
    </row>
    <row r="502">
      <c r="C502" s="7" t="b">
        <v>0</v>
      </c>
    </row>
    <row r="503">
      <c r="C503" s="7" t="b">
        <v>0</v>
      </c>
    </row>
    <row r="504">
      <c r="C504" s="7" t="b">
        <v>0</v>
      </c>
    </row>
    <row r="505">
      <c r="C505" s="7" t="b">
        <v>0</v>
      </c>
    </row>
    <row r="506">
      <c r="C506" s="7" t="b">
        <v>0</v>
      </c>
    </row>
    <row r="507">
      <c r="C507" s="7" t="b">
        <v>0</v>
      </c>
    </row>
    <row r="508">
      <c r="C508" s="7" t="b">
        <v>0</v>
      </c>
    </row>
    <row r="509">
      <c r="C509" s="7" t="b">
        <v>0</v>
      </c>
    </row>
    <row r="510">
      <c r="C510" s="7" t="b">
        <v>0</v>
      </c>
    </row>
    <row r="511">
      <c r="C511" s="7" t="b">
        <v>0</v>
      </c>
    </row>
    <row r="512">
      <c r="C512" s="7" t="b">
        <v>0</v>
      </c>
    </row>
    <row r="513">
      <c r="C513" s="7" t="b">
        <v>0</v>
      </c>
    </row>
    <row r="514">
      <c r="C514" s="7" t="b">
        <v>0</v>
      </c>
    </row>
    <row r="515">
      <c r="C515" s="7" t="b">
        <v>0</v>
      </c>
    </row>
    <row r="516">
      <c r="C516" s="7" t="b">
        <v>0</v>
      </c>
    </row>
    <row r="517">
      <c r="C517" s="7" t="b">
        <v>0</v>
      </c>
    </row>
    <row r="518">
      <c r="C518" s="7" t="b">
        <v>0</v>
      </c>
    </row>
    <row r="519">
      <c r="C519" s="7" t="b">
        <v>0</v>
      </c>
    </row>
    <row r="520">
      <c r="C520" s="7" t="b">
        <v>0</v>
      </c>
    </row>
    <row r="521">
      <c r="C521" s="7" t="b">
        <v>0</v>
      </c>
    </row>
    <row r="522">
      <c r="C522" s="7" t="b">
        <v>0</v>
      </c>
    </row>
    <row r="523">
      <c r="C523" s="7" t="b">
        <v>0</v>
      </c>
    </row>
    <row r="524">
      <c r="C524" s="7" t="b">
        <v>0</v>
      </c>
    </row>
    <row r="525">
      <c r="C525" s="7" t="b">
        <v>0</v>
      </c>
    </row>
    <row r="526">
      <c r="C526" s="7" t="b">
        <v>0</v>
      </c>
    </row>
    <row r="527">
      <c r="C527" s="7" t="b">
        <v>0</v>
      </c>
    </row>
    <row r="528">
      <c r="C528" s="7" t="b">
        <v>0</v>
      </c>
    </row>
    <row r="529">
      <c r="C529" s="7" t="b">
        <v>0</v>
      </c>
    </row>
    <row r="530">
      <c r="C530" s="7" t="b">
        <v>0</v>
      </c>
    </row>
    <row r="531">
      <c r="C531" s="7" t="b">
        <v>0</v>
      </c>
    </row>
    <row r="532">
      <c r="C532" s="7" t="b">
        <v>0</v>
      </c>
    </row>
    <row r="533">
      <c r="C533" s="7" t="b">
        <v>0</v>
      </c>
    </row>
    <row r="534">
      <c r="C534" s="7" t="b">
        <v>0</v>
      </c>
    </row>
    <row r="535">
      <c r="C535" s="7" t="b">
        <v>0</v>
      </c>
    </row>
    <row r="536">
      <c r="C536" s="7" t="b">
        <v>0</v>
      </c>
    </row>
    <row r="537">
      <c r="C537" s="7" t="b">
        <v>0</v>
      </c>
    </row>
    <row r="538">
      <c r="C538" s="7" t="b">
        <v>0</v>
      </c>
    </row>
    <row r="539">
      <c r="C539" s="7" t="b">
        <v>0</v>
      </c>
    </row>
    <row r="540">
      <c r="C540" s="7" t="b">
        <v>0</v>
      </c>
    </row>
    <row r="541">
      <c r="C541" s="7" t="b">
        <v>0</v>
      </c>
    </row>
    <row r="542">
      <c r="C542" s="7" t="b">
        <v>0</v>
      </c>
    </row>
    <row r="543">
      <c r="C543" s="7" t="b">
        <v>0</v>
      </c>
    </row>
    <row r="544">
      <c r="C544" s="7" t="b">
        <v>0</v>
      </c>
    </row>
    <row r="545">
      <c r="C545" s="7" t="b">
        <v>0</v>
      </c>
    </row>
    <row r="546">
      <c r="C546" s="7" t="b">
        <v>0</v>
      </c>
    </row>
    <row r="547">
      <c r="C547" s="7" t="b">
        <v>0</v>
      </c>
    </row>
    <row r="548">
      <c r="C548" s="7" t="b">
        <v>0</v>
      </c>
    </row>
    <row r="549">
      <c r="C549" s="7" t="b">
        <v>0</v>
      </c>
    </row>
    <row r="550">
      <c r="C550" s="7" t="b">
        <v>0</v>
      </c>
    </row>
    <row r="551">
      <c r="C551" s="7" t="b">
        <v>0</v>
      </c>
    </row>
    <row r="552">
      <c r="C552" s="7" t="b">
        <v>0</v>
      </c>
    </row>
    <row r="553">
      <c r="C553" s="7" t="b">
        <v>0</v>
      </c>
    </row>
    <row r="554">
      <c r="C554" s="7" t="b">
        <v>0</v>
      </c>
    </row>
    <row r="555">
      <c r="C555" s="7" t="b">
        <v>0</v>
      </c>
    </row>
    <row r="556">
      <c r="C556" s="7" t="b">
        <v>0</v>
      </c>
    </row>
    <row r="557">
      <c r="C557" s="7" t="b">
        <v>0</v>
      </c>
    </row>
    <row r="558">
      <c r="C558" s="7" t="b">
        <v>0</v>
      </c>
    </row>
    <row r="559">
      <c r="C559" s="7" t="b">
        <v>0</v>
      </c>
    </row>
    <row r="560">
      <c r="C560" s="7" t="b">
        <v>0</v>
      </c>
    </row>
    <row r="561">
      <c r="C561" s="7" t="b">
        <v>0</v>
      </c>
    </row>
    <row r="562">
      <c r="C562" s="7" t="b">
        <v>0</v>
      </c>
    </row>
    <row r="563">
      <c r="C563" s="7" t="b">
        <v>0</v>
      </c>
    </row>
    <row r="564">
      <c r="C564" s="7" t="b">
        <v>0</v>
      </c>
    </row>
    <row r="565">
      <c r="C565" s="7" t="b">
        <v>0</v>
      </c>
    </row>
    <row r="566">
      <c r="C566" s="7" t="b">
        <v>0</v>
      </c>
    </row>
    <row r="567">
      <c r="C567" s="7" t="b">
        <v>0</v>
      </c>
    </row>
    <row r="568">
      <c r="C568" s="7" t="b">
        <v>0</v>
      </c>
    </row>
    <row r="569">
      <c r="C569" s="7" t="b">
        <v>0</v>
      </c>
    </row>
    <row r="570">
      <c r="C570" s="7" t="b">
        <v>0</v>
      </c>
    </row>
    <row r="571">
      <c r="C571" s="7" t="b">
        <v>0</v>
      </c>
    </row>
    <row r="572">
      <c r="C572" s="7" t="b">
        <v>0</v>
      </c>
    </row>
    <row r="573">
      <c r="C573" s="7" t="b">
        <v>0</v>
      </c>
    </row>
    <row r="574">
      <c r="C574" s="7" t="b">
        <v>0</v>
      </c>
    </row>
    <row r="575">
      <c r="C575" s="7" t="b">
        <v>0</v>
      </c>
    </row>
    <row r="576">
      <c r="C576" s="7" t="b">
        <v>0</v>
      </c>
    </row>
    <row r="577">
      <c r="C577" s="7" t="b">
        <v>0</v>
      </c>
    </row>
    <row r="578">
      <c r="C578" s="7" t="b">
        <v>0</v>
      </c>
    </row>
    <row r="579">
      <c r="C579" s="7" t="b">
        <v>0</v>
      </c>
    </row>
    <row r="580">
      <c r="C580" s="7" t="b">
        <v>0</v>
      </c>
    </row>
    <row r="581">
      <c r="C581" s="7" t="b">
        <v>0</v>
      </c>
    </row>
    <row r="582">
      <c r="C582" s="7" t="b">
        <v>0</v>
      </c>
    </row>
    <row r="583">
      <c r="C583" s="7" t="b">
        <v>0</v>
      </c>
    </row>
    <row r="584">
      <c r="C584" s="7" t="b">
        <v>0</v>
      </c>
    </row>
    <row r="585">
      <c r="C585" s="7" t="b">
        <v>0</v>
      </c>
    </row>
    <row r="586">
      <c r="C586" s="7" t="b">
        <v>0</v>
      </c>
    </row>
    <row r="587">
      <c r="C587" s="7" t="b">
        <v>0</v>
      </c>
    </row>
    <row r="588">
      <c r="C588" s="7" t="b">
        <v>0</v>
      </c>
    </row>
    <row r="589">
      <c r="C589" s="7" t="b">
        <v>0</v>
      </c>
    </row>
    <row r="590">
      <c r="C590" s="7" t="b">
        <v>0</v>
      </c>
    </row>
    <row r="591">
      <c r="C591" s="7" t="b">
        <v>0</v>
      </c>
    </row>
    <row r="592">
      <c r="C592" s="7" t="b">
        <v>0</v>
      </c>
    </row>
    <row r="593">
      <c r="C593" s="7" t="b">
        <v>0</v>
      </c>
    </row>
    <row r="594">
      <c r="C594" s="7" t="b">
        <v>0</v>
      </c>
    </row>
    <row r="595">
      <c r="C595" s="7" t="b">
        <v>0</v>
      </c>
    </row>
    <row r="596">
      <c r="C596" s="7" t="b">
        <v>0</v>
      </c>
    </row>
    <row r="597">
      <c r="C597" s="7" t="b">
        <v>0</v>
      </c>
    </row>
    <row r="598">
      <c r="C598" s="7" t="b">
        <v>0</v>
      </c>
    </row>
    <row r="599">
      <c r="C599" s="7" t="b">
        <v>0</v>
      </c>
    </row>
    <row r="600">
      <c r="C600" s="7" t="b">
        <v>0</v>
      </c>
    </row>
    <row r="601">
      <c r="C601" s="7" t="b">
        <v>0</v>
      </c>
    </row>
    <row r="602">
      <c r="C602" s="7" t="b">
        <v>0</v>
      </c>
    </row>
    <row r="603">
      <c r="C603" s="7" t="b">
        <v>0</v>
      </c>
    </row>
    <row r="604">
      <c r="C604" s="7" t="b">
        <v>0</v>
      </c>
    </row>
    <row r="605">
      <c r="C605" s="7" t="b">
        <v>0</v>
      </c>
    </row>
    <row r="606">
      <c r="C606" s="7" t="b">
        <v>0</v>
      </c>
    </row>
    <row r="607">
      <c r="C607" s="7" t="b">
        <v>0</v>
      </c>
    </row>
    <row r="608">
      <c r="C608" s="7" t="b">
        <v>0</v>
      </c>
    </row>
    <row r="609">
      <c r="C609" s="7" t="b">
        <v>0</v>
      </c>
    </row>
    <row r="610">
      <c r="C610" s="7" t="b">
        <v>0</v>
      </c>
    </row>
    <row r="611">
      <c r="C611" s="7" t="b">
        <v>0</v>
      </c>
    </row>
    <row r="612">
      <c r="C612" s="7" t="b">
        <v>0</v>
      </c>
    </row>
    <row r="613">
      <c r="C613" s="7" t="b">
        <v>0</v>
      </c>
    </row>
    <row r="614">
      <c r="C614" s="7" t="b">
        <v>0</v>
      </c>
    </row>
    <row r="615">
      <c r="C615" s="7" t="b">
        <v>0</v>
      </c>
    </row>
    <row r="616">
      <c r="C616" s="7" t="b">
        <v>0</v>
      </c>
    </row>
    <row r="617">
      <c r="C617" s="7" t="b">
        <v>0</v>
      </c>
    </row>
    <row r="618">
      <c r="C618" s="7" t="b">
        <v>0</v>
      </c>
    </row>
    <row r="619">
      <c r="C619" s="7" t="b">
        <v>0</v>
      </c>
    </row>
    <row r="620">
      <c r="C620" s="7" t="b">
        <v>0</v>
      </c>
    </row>
    <row r="621">
      <c r="C621" s="7" t="b">
        <v>0</v>
      </c>
    </row>
    <row r="622">
      <c r="C622" s="7" t="b">
        <v>0</v>
      </c>
    </row>
    <row r="623">
      <c r="C623" s="7" t="b">
        <v>0</v>
      </c>
    </row>
    <row r="624">
      <c r="C624" s="7" t="b">
        <v>0</v>
      </c>
    </row>
    <row r="625">
      <c r="C625" s="7" t="b">
        <v>0</v>
      </c>
    </row>
    <row r="626">
      <c r="C626" s="7" t="b">
        <v>0</v>
      </c>
    </row>
    <row r="627">
      <c r="C627" s="7" t="b">
        <v>0</v>
      </c>
    </row>
    <row r="628">
      <c r="C628" s="7" t="b">
        <v>0</v>
      </c>
    </row>
    <row r="629">
      <c r="C629" s="7" t="b">
        <v>0</v>
      </c>
    </row>
    <row r="630">
      <c r="C630" s="7" t="b">
        <v>0</v>
      </c>
    </row>
    <row r="631">
      <c r="C631" s="7" t="b">
        <v>0</v>
      </c>
    </row>
    <row r="632">
      <c r="C632" s="7" t="b">
        <v>0</v>
      </c>
    </row>
    <row r="633">
      <c r="C633" s="7" t="b">
        <v>0</v>
      </c>
    </row>
    <row r="634">
      <c r="C634" s="7" t="b">
        <v>0</v>
      </c>
    </row>
    <row r="635">
      <c r="C635" s="7" t="b">
        <v>0</v>
      </c>
    </row>
    <row r="636">
      <c r="C636" s="7" t="b">
        <v>0</v>
      </c>
    </row>
    <row r="637">
      <c r="C637" s="7" t="b">
        <v>0</v>
      </c>
    </row>
    <row r="638">
      <c r="C638" s="7" t="b">
        <v>0</v>
      </c>
    </row>
    <row r="639">
      <c r="C639" s="7" t="b">
        <v>0</v>
      </c>
    </row>
    <row r="640">
      <c r="C640" s="7" t="b">
        <v>0</v>
      </c>
    </row>
    <row r="641">
      <c r="C641" s="7" t="b">
        <v>0</v>
      </c>
    </row>
    <row r="642">
      <c r="C642" s="7" t="b">
        <v>0</v>
      </c>
    </row>
    <row r="643">
      <c r="C643" s="7" t="b">
        <v>0</v>
      </c>
    </row>
    <row r="644">
      <c r="C644" s="7" t="b">
        <v>0</v>
      </c>
    </row>
    <row r="645">
      <c r="C645" s="7" t="b">
        <v>0</v>
      </c>
    </row>
    <row r="646">
      <c r="C646" s="7" t="b">
        <v>0</v>
      </c>
    </row>
    <row r="647">
      <c r="C647" s="7" t="b">
        <v>0</v>
      </c>
    </row>
    <row r="648">
      <c r="C648" s="7" t="b">
        <v>0</v>
      </c>
    </row>
    <row r="649">
      <c r="C649" s="7" t="b">
        <v>0</v>
      </c>
    </row>
    <row r="650">
      <c r="C650" s="7" t="b">
        <v>0</v>
      </c>
    </row>
    <row r="651">
      <c r="C651" s="7" t="b">
        <v>0</v>
      </c>
    </row>
    <row r="652">
      <c r="C652" s="7" t="b">
        <v>0</v>
      </c>
    </row>
    <row r="653">
      <c r="C653" s="7" t="b">
        <v>0</v>
      </c>
    </row>
    <row r="654">
      <c r="C654" s="7" t="b">
        <v>0</v>
      </c>
    </row>
    <row r="655">
      <c r="C655" s="7" t="b">
        <v>0</v>
      </c>
    </row>
    <row r="656">
      <c r="C656" s="7" t="b">
        <v>0</v>
      </c>
    </row>
    <row r="657">
      <c r="C657" s="7" t="b">
        <v>0</v>
      </c>
    </row>
    <row r="658">
      <c r="C658" s="7" t="b">
        <v>0</v>
      </c>
    </row>
    <row r="659">
      <c r="C659" s="7" t="b">
        <v>0</v>
      </c>
    </row>
    <row r="660">
      <c r="C660" s="7" t="b">
        <v>0</v>
      </c>
    </row>
    <row r="661">
      <c r="C661" s="7" t="b">
        <v>0</v>
      </c>
    </row>
    <row r="662">
      <c r="C662" s="7" t="b">
        <v>0</v>
      </c>
    </row>
    <row r="663">
      <c r="C663" s="7" t="b">
        <v>0</v>
      </c>
    </row>
    <row r="664">
      <c r="C664" s="7" t="b">
        <v>0</v>
      </c>
    </row>
    <row r="665">
      <c r="C665" s="7" t="b">
        <v>0</v>
      </c>
    </row>
    <row r="666">
      <c r="C666" s="7" t="b">
        <v>0</v>
      </c>
    </row>
    <row r="667">
      <c r="C667" s="7" t="b">
        <v>0</v>
      </c>
    </row>
    <row r="668">
      <c r="C668" s="7" t="b">
        <v>0</v>
      </c>
    </row>
    <row r="669">
      <c r="C669" s="7" t="b">
        <v>0</v>
      </c>
    </row>
    <row r="670">
      <c r="C670" s="7" t="b">
        <v>0</v>
      </c>
    </row>
    <row r="671">
      <c r="C671" s="7" t="b">
        <v>0</v>
      </c>
    </row>
    <row r="672">
      <c r="C672" s="7" t="b">
        <v>0</v>
      </c>
    </row>
    <row r="673">
      <c r="C673" s="7" t="b">
        <v>0</v>
      </c>
    </row>
    <row r="674">
      <c r="C674" s="7" t="b">
        <v>0</v>
      </c>
    </row>
    <row r="675">
      <c r="C675" s="7" t="b">
        <v>0</v>
      </c>
    </row>
    <row r="676">
      <c r="C676" s="7" t="b">
        <v>0</v>
      </c>
    </row>
    <row r="677">
      <c r="C677" s="7" t="b">
        <v>0</v>
      </c>
    </row>
    <row r="678">
      <c r="C678" s="7" t="b">
        <v>0</v>
      </c>
    </row>
    <row r="679">
      <c r="C679" s="7" t="b">
        <v>0</v>
      </c>
    </row>
    <row r="680">
      <c r="C680" s="7" t="b">
        <v>0</v>
      </c>
    </row>
    <row r="681">
      <c r="C681" s="7" t="b">
        <v>0</v>
      </c>
    </row>
    <row r="682">
      <c r="C682" s="7" t="b">
        <v>0</v>
      </c>
    </row>
    <row r="683">
      <c r="C683" s="7" t="b">
        <v>0</v>
      </c>
    </row>
    <row r="684">
      <c r="C684" s="7" t="b">
        <v>0</v>
      </c>
    </row>
    <row r="685">
      <c r="C685" s="7" t="b">
        <v>0</v>
      </c>
    </row>
    <row r="686">
      <c r="C686" s="7" t="b">
        <v>0</v>
      </c>
    </row>
    <row r="687">
      <c r="C687" s="7" t="b">
        <v>0</v>
      </c>
    </row>
    <row r="688">
      <c r="C688" s="7" t="b">
        <v>0</v>
      </c>
    </row>
    <row r="689">
      <c r="C689" s="7" t="b">
        <v>0</v>
      </c>
    </row>
    <row r="690">
      <c r="C690" s="7" t="b">
        <v>0</v>
      </c>
    </row>
    <row r="691">
      <c r="C691" s="7" t="b">
        <v>0</v>
      </c>
    </row>
    <row r="692">
      <c r="C692" s="7" t="b">
        <v>0</v>
      </c>
    </row>
    <row r="693">
      <c r="C693" s="7" t="b">
        <v>0</v>
      </c>
    </row>
    <row r="694">
      <c r="C694" s="7" t="b">
        <v>0</v>
      </c>
    </row>
    <row r="695">
      <c r="C695" s="7" t="b">
        <v>0</v>
      </c>
    </row>
    <row r="696">
      <c r="C696" s="7" t="b">
        <v>0</v>
      </c>
    </row>
    <row r="697">
      <c r="C697" s="7" t="b">
        <v>0</v>
      </c>
    </row>
    <row r="698">
      <c r="C698" s="7" t="b">
        <v>0</v>
      </c>
    </row>
    <row r="699">
      <c r="C699" s="7" t="b">
        <v>0</v>
      </c>
    </row>
    <row r="700">
      <c r="C700" s="7" t="b">
        <v>0</v>
      </c>
    </row>
    <row r="701">
      <c r="C701" s="7" t="b">
        <v>0</v>
      </c>
    </row>
    <row r="702">
      <c r="C702" s="7" t="b">
        <v>0</v>
      </c>
    </row>
    <row r="703">
      <c r="C703" s="7" t="b">
        <v>0</v>
      </c>
    </row>
    <row r="704">
      <c r="C704" s="7" t="b">
        <v>0</v>
      </c>
    </row>
    <row r="705">
      <c r="C705" s="7" t="b">
        <v>0</v>
      </c>
    </row>
    <row r="706">
      <c r="C706" s="7" t="b">
        <v>0</v>
      </c>
    </row>
    <row r="707">
      <c r="C707" s="7" t="b">
        <v>0</v>
      </c>
    </row>
    <row r="708">
      <c r="C708" s="7" t="b">
        <v>0</v>
      </c>
    </row>
    <row r="709">
      <c r="C709" s="7" t="b">
        <v>0</v>
      </c>
    </row>
    <row r="710">
      <c r="C710" s="7" t="b">
        <v>0</v>
      </c>
    </row>
    <row r="711">
      <c r="C711" s="7" t="b">
        <v>0</v>
      </c>
    </row>
    <row r="712">
      <c r="C712" s="7" t="b">
        <v>0</v>
      </c>
    </row>
    <row r="713">
      <c r="C713" s="7" t="b">
        <v>0</v>
      </c>
    </row>
    <row r="714">
      <c r="C714" s="7" t="b">
        <v>0</v>
      </c>
    </row>
    <row r="715">
      <c r="C715" s="7" t="b">
        <v>0</v>
      </c>
    </row>
    <row r="716">
      <c r="C716" s="7" t="b">
        <v>0</v>
      </c>
    </row>
    <row r="717">
      <c r="C717" s="7" t="b">
        <v>0</v>
      </c>
    </row>
    <row r="718">
      <c r="C718" s="7" t="b">
        <v>0</v>
      </c>
    </row>
    <row r="719">
      <c r="C719" s="7" t="b">
        <v>0</v>
      </c>
    </row>
    <row r="720">
      <c r="C720" s="7" t="b">
        <v>0</v>
      </c>
    </row>
    <row r="721">
      <c r="C721" s="7" t="b">
        <v>0</v>
      </c>
    </row>
    <row r="722">
      <c r="C722" s="7" t="b">
        <v>0</v>
      </c>
    </row>
    <row r="723">
      <c r="C723" s="7" t="b">
        <v>0</v>
      </c>
    </row>
    <row r="724">
      <c r="C724" s="7" t="b">
        <v>0</v>
      </c>
    </row>
    <row r="725">
      <c r="C725" s="7" t="b">
        <v>0</v>
      </c>
    </row>
    <row r="726">
      <c r="C726" s="7" t="b">
        <v>0</v>
      </c>
    </row>
    <row r="727">
      <c r="C727" s="7" t="b">
        <v>0</v>
      </c>
    </row>
    <row r="728">
      <c r="C728" s="7" t="b">
        <v>0</v>
      </c>
    </row>
    <row r="729">
      <c r="C729" s="7" t="b">
        <v>0</v>
      </c>
    </row>
    <row r="730">
      <c r="C730" s="7" t="b">
        <v>0</v>
      </c>
    </row>
    <row r="731">
      <c r="C731" s="7" t="b">
        <v>0</v>
      </c>
    </row>
    <row r="732">
      <c r="C732" s="7" t="b">
        <v>0</v>
      </c>
    </row>
    <row r="733">
      <c r="C733" s="7" t="b">
        <v>0</v>
      </c>
    </row>
    <row r="734">
      <c r="C734" s="7" t="b">
        <v>0</v>
      </c>
    </row>
    <row r="735">
      <c r="C735" s="7" t="b">
        <v>0</v>
      </c>
    </row>
    <row r="736">
      <c r="C736" s="7" t="b">
        <v>0</v>
      </c>
    </row>
    <row r="737">
      <c r="C737" s="7" t="b">
        <v>0</v>
      </c>
    </row>
    <row r="738">
      <c r="C738" s="7" t="b">
        <v>0</v>
      </c>
    </row>
    <row r="739">
      <c r="C739" s="7" t="b">
        <v>0</v>
      </c>
    </row>
    <row r="740">
      <c r="C740" s="7" t="b">
        <v>0</v>
      </c>
    </row>
    <row r="741">
      <c r="C741" s="7" t="b">
        <v>0</v>
      </c>
    </row>
    <row r="742">
      <c r="C742" s="7" t="b">
        <v>0</v>
      </c>
    </row>
    <row r="743">
      <c r="C743" s="7" t="b">
        <v>0</v>
      </c>
    </row>
    <row r="744">
      <c r="C744" s="7" t="b">
        <v>0</v>
      </c>
    </row>
    <row r="745">
      <c r="C745" s="7" t="b">
        <v>0</v>
      </c>
    </row>
    <row r="746">
      <c r="C746" s="7" t="b">
        <v>0</v>
      </c>
    </row>
    <row r="747">
      <c r="C747" s="7" t="b">
        <v>0</v>
      </c>
    </row>
    <row r="748">
      <c r="C748" s="7" t="b">
        <v>0</v>
      </c>
    </row>
    <row r="749">
      <c r="C749" s="7" t="b">
        <v>0</v>
      </c>
    </row>
    <row r="750">
      <c r="C750" s="7" t="b">
        <v>0</v>
      </c>
    </row>
    <row r="751">
      <c r="C751" s="7" t="b">
        <v>0</v>
      </c>
    </row>
    <row r="752">
      <c r="C752" s="7" t="b">
        <v>0</v>
      </c>
    </row>
    <row r="753">
      <c r="C753" s="7" t="b">
        <v>0</v>
      </c>
    </row>
    <row r="754">
      <c r="C754" s="7" t="b">
        <v>0</v>
      </c>
    </row>
    <row r="755">
      <c r="C755" s="7" t="b">
        <v>0</v>
      </c>
    </row>
    <row r="756">
      <c r="C756" s="7" t="b">
        <v>0</v>
      </c>
    </row>
    <row r="757">
      <c r="C757" s="7" t="b">
        <v>0</v>
      </c>
    </row>
    <row r="758">
      <c r="C758" s="7" t="b">
        <v>0</v>
      </c>
    </row>
    <row r="759">
      <c r="C759" s="7" t="b">
        <v>0</v>
      </c>
    </row>
    <row r="760">
      <c r="C760" s="7" t="b">
        <v>0</v>
      </c>
    </row>
    <row r="761">
      <c r="C761" s="7" t="b">
        <v>0</v>
      </c>
    </row>
    <row r="762">
      <c r="C762" s="7" t="b">
        <v>0</v>
      </c>
    </row>
    <row r="763">
      <c r="C763" s="7" t="b">
        <v>0</v>
      </c>
    </row>
    <row r="764">
      <c r="C764" s="7" t="b">
        <v>0</v>
      </c>
    </row>
    <row r="765">
      <c r="C765" s="7" t="b">
        <v>0</v>
      </c>
    </row>
    <row r="766">
      <c r="C766" s="7" t="b">
        <v>0</v>
      </c>
    </row>
    <row r="767">
      <c r="C767" s="7" t="b">
        <v>0</v>
      </c>
    </row>
    <row r="768">
      <c r="C768" s="7" t="b">
        <v>0</v>
      </c>
    </row>
    <row r="769">
      <c r="C769" s="7" t="b">
        <v>0</v>
      </c>
    </row>
    <row r="770">
      <c r="C770" s="7" t="b">
        <v>0</v>
      </c>
    </row>
    <row r="771">
      <c r="C771" s="7" t="b">
        <v>0</v>
      </c>
    </row>
    <row r="772">
      <c r="C772" s="7" t="b">
        <v>0</v>
      </c>
    </row>
    <row r="773">
      <c r="C773" s="7" t="b">
        <v>0</v>
      </c>
    </row>
    <row r="774">
      <c r="C774" s="7" t="b">
        <v>0</v>
      </c>
    </row>
    <row r="775">
      <c r="C775" s="7" t="b">
        <v>0</v>
      </c>
    </row>
    <row r="776">
      <c r="C776" s="7" t="b">
        <v>0</v>
      </c>
    </row>
    <row r="777">
      <c r="C777" s="7" t="b">
        <v>0</v>
      </c>
    </row>
    <row r="778">
      <c r="C778" s="7" t="b">
        <v>0</v>
      </c>
    </row>
    <row r="779">
      <c r="C779" s="7" t="b">
        <v>0</v>
      </c>
    </row>
    <row r="780">
      <c r="C780" s="7" t="b">
        <v>0</v>
      </c>
    </row>
    <row r="781">
      <c r="C781" s="7" t="b">
        <v>0</v>
      </c>
    </row>
    <row r="782">
      <c r="C782" s="7" t="b">
        <v>0</v>
      </c>
    </row>
    <row r="783">
      <c r="C783" s="7" t="b">
        <v>0</v>
      </c>
    </row>
    <row r="784">
      <c r="C784" s="7" t="b">
        <v>0</v>
      </c>
    </row>
    <row r="785">
      <c r="C785" s="7" t="b">
        <v>0</v>
      </c>
    </row>
    <row r="786">
      <c r="C786" s="7" t="b">
        <v>0</v>
      </c>
    </row>
    <row r="787">
      <c r="C787" s="7" t="b">
        <v>0</v>
      </c>
    </row>
    <row r="788">
      <c r="C788" s="7" t="b">
        <v>0</v>
      </c>
    </row>
    <row r="789">
      <c r="C789" s="7" t="b">
        <v>0</v>
      </c>
    </row>
    <row r="790">
      <c r="C790" s="7" t="b">
        <v>0</v>
      </c>
    </row>
    <row r="791">
      <c r="C791" s="7" t="b">
        <v>0</v>
      </c>
    </row>
    <row r="792">
      <c r="C792" s="7" t="b">
        <v>0</v>
      </c>
    </row>
    <row r="793">
      <c r="C793" s="7" t="b">
        <v>0</v>
      </c>
    </row>
    <row r="794">
      <c r="C794" s="7" t="b">
        <v>0</v>
      </c>
    </row>
    <row r="795">
      <c r="C795" s="7" t="b">
        <v>0</v>
      </c>
    </row>
    <row r="796">
      <c r="C796" s="7" t="b">
        <v>0</v>
      </c>
    </row>
    <row r="797">
      <c r="C797" s="7" t="b">
        <v>0</v>
      </c>
    </row>
    <row r="798">
      <c r="C798" s="7" t="b">
        <v>0</v>
      </c>
    </row>
    <row r="799">
      <c r="C799" s="7" t="b">
        <v>0</v>
      </c>
    </row>
    <row r="800">
      <c r="C800" s="7" t="b">
        <v>0</v>
      </c>
    </row>
    <row r="801">
      <c r="C801" s="7" t="b">
        <v>0</v>
      </c>
    </row>
    <row r="802">
      <c r="C802" s="7" t="b">
        <v>0</v>
      </c>
    </row>
    <row r="803">
      <c r="C803" s="7" t="b">
        <v>0</v>
      </c>
    </row>
    <row r="804">
      <c r="C804" s="7" t="b">
        <v>0</v>
      </c>
    </row>
    <row r="805">
      <c r="C805" s="7" t="b">
        <v>0</v>
      </c>
    </row>
    <row r="806">
      <c r="C806" s="7" t="b">
        <v>0</v>
      </c>
    </row>
    <row r="807">
      <c r="C807" s="7" t="b">
        <v>0</v>
      </c>
    </row>
    <row r="808">
      <c r="C808" s="7" t="b">
        <v>0</v>
      </c>
    </row>
    <row r="809">
      <c r="C809" s="7" t="b">
        <v>0</v>
      </c>
    </row>
    <row r="810">
      <c r="C810" s="7" t="b">
        <v>0</v>
      </c>
    </row>
    <row r="811">
      <c r="C811" s="7" t="b">
        <v>0</v>
      </c>
    </row>
    <row r="812">
      <c r="C812" s="7" t="b">
        <v>0</v>
      </c>
    </row>
    <row r="813">
      <c r="C813" s="7" t="b">
        <v>0</v>
      </c>
    </row>
    <row r="814">
      <c r="C814" s="7" t="b">
        <v>0</v>
      </c>
    </row>
    <row r="815">
      <c r="C815" s="7" t="b">
        <v>0</v>
      </c>
    </row>
    <row r="816">
      <c r="C816" s="7" t="b">
        <v>0</v>
      </c>
    </row>
    <row r="817">
      <c r="C817" s="7" t="b">
        <v>0</v>
      </c>
    </row>
    <row r="818">
      <c r="C818" s="7" t="b">
        <v>0</v>
      </c>
    </row>
    <row r="819">
      <c r="C819" s="7" t="b">
        <v>0</v>
      </c>
    </row>
    <row r="820">
      <c r="C820" s="7" t="b">
        <v>0</v>
      </c>
    </row>
    <row r="821">
      <c r="C821" s="7" t="b">
        <v>0</v>
      </c>
    </row>
    <row r="822">
      <c r="C822" s="7" t="b">
        <v>0</v>
      </c>
    </row>
    <row r="823">
      <c r="C823" s="7" t="b">
        <v>0</v>
      </c>
    </row>
    <row r="824">
      <c r="C824" s="7" t="b">
        <v>0</v>
      </c>
    </row>
    <row r="825">
      <c r="C825" s="7" t="b">
        <v>0</v>
      </c>
    </row>
    <row r="826">
      <c r="C826" s="7" t="b">
        <v>0</v>
      </c>
    </row>
    <row r="827">
      <c r="C827" s="7" t="b">
        <v>0</v>
      </c>
    </row>
    <row r="828">
      <c r="C828" s="7" t="b">
        <v>0</v>
      </c>
    </row>
    <row r="829">
      <c r="C829" s="7" t="b">
        <v>0</v>
      </c>
    </row>
    <row r="830">
      <c r="C830" s="7" t="b">
        <v>0</v>
      </c>
    </row>
    <row r="831">
      <c r="C831" s="7" t="b">
        <v>0</v>
      </c>
    </row>
    <row r="832">
      <c r="C832" s="7" t="b">
        <v>0</v>
      </c>
    </row>
    <row r="833">
      <c r="C833" s="7" t="b">
        <v>0</v>
      </c>
    </row>
    <row r="834">
      <c r="C834" s="7" t="b">
        <v>0</v>
      </c>
    </row>
    <row r="835">
      <c r="C835" s="7" t="b">
        <v>0</v>
      </c>
    </row>
    <row r="836">
      <c r="C836" s="7" t="b">
        <v>0</v>
      </c>
    </row>
    <row r="837">
      <c r="C837" s="7" t="b">
        <v>0</v>
      </c>
    </row>
    <row r="838">
      <c r="C838" s="7" t="b">
        <v>0</v>
      </c>
    </row>
    <row r="839">
      <c r="C839" s="7" t="b">
        <v>0</v>
      </c>
    </row>
    <row r="840">
      <c r="C840" s="7" t="b">
        <v>0</v>
      </c>
    </row>
    <row r="841">
      <c r="C841" s="7" t="b">
        <v>0</v>
      </c>
    </row>
    <row r="842">
      <c r="C842" s="7" t="b">
        <v>0</v>
      </c>
    </row>
    <row r="843">
      <c r="C843" s="7" t="b">
        <v>0</v>
      </c>
    </row>
    <row r="844">
      <c r="C844" s="7" t="b">
        <v>0</v>
      </c>
    </row>
    <row r="845">
      <c r="C845" s="7" t="b">
        <v>0</v>
      </c>
    </row>
    <row r="846">
      <c r="C846" s="7" t="b">
        <v>0</v>
      </c>
    </row>
    <row r="847">
      <c r="C847" s="7" t="b">
        <v>0</v>
      </c>
    </row>
    <row r="848">
      <c r="C848" s="7" t="b">
        <v>0</v>
      </c>
    </row>
    <row r="849">
      <c r="C849" s="7" t="b">
        <v>0</v>
      </c>
    </row>
    <row r="850">
      <c r="C850" s="7" t="b">
        <v>0</v>
      </c>
    </row>
    <row r="851">
      <c r="C851" s="7" t="b">
        <v>0</v>
      </c>
    </row>
    <row r="852">
      <c r="C852" s="7" t="b">
        <v>0</v>
      </c>
    </row>
    <row r="853">
      <c r="C853" s="7" t="b">
        <v>0</v>
      </c>
    </row>
    <row r="854">
      <c r="C854" s="7" t="b">
        <v>0</v>
      </c>
    </row>
    <row r="855">
      <c r="C855" s="7" t="b">
        <v>0</v>
      </c>
    </row>
    <row r="856">
      <c r="C856" s="7" t="b">
        <v>0</v>
      </c>
    </row>
    <row r="857">
      <c r="C857" s="7" t="b">
        <v>0</v>
      </c>
    </row>
    <row r="858">
      <c r="C858" s="7" t="b">
        <v>0</v>
      </c>
    </row>
    <row r="859">
      <c r="C859" s="7" t="b">
        <v>0</v>
      </c>
    </row>
    <row r="860">
      <c r="C860" s="7" t="b">
        <v>0</v>
      </c>
    </row>
    <row r="861">
      <c r="C861" s="7" t="b">
        <v>0</v>
      </c>
    </row>
    <row r="862">
      <c r="C862" s="7" t="b">
        <v>0</v>
      </c>
    </row>
    <row r="863">
      <c r="C863" s="7" t="b">
        <v>0</v>
      </c>
    </row>
    <row r="864">
      <c r="C864" s="7" t="b">
        <v>0</v>
      </c>
    </row>
    <row r="865">
      <c r="C865" s="7" t="b">
        <v>0</v>
      </c>
    </row>
    <row r="866">
      <c r="C866" s="7" t="b">
        <v>0</v>
      </c>
    </row>
    <row r="867">
      <c r="C867" s="7" t="b">
        <v>0</v>
      </c>
    </row>
    <row r="868">
      <c r="C868" s="7" t="b">
        <v>0</v>
      </c>
    </row>
    <row r="869">
      <c r="C869" s="7" t="b">
        <v>0</v>
      </c>
    </row>
    <row r="870">
      <c r="C870" s="7" t="b">
        <v>0</v>
      </c>
    </row>
    <row r="871">
      <c r="C871" s="7" t="b">
        <v>0</v>
      </c>
    </row>
    <row r="872">
      <c r="C872" s="7" t="b">
        <v>0</v>
      </c>
    </row>
    <row r="873">
      <c r="C873" s="7" t="b">
        <v>0</v>
      </c>
    </row>
    <row r="874">
      <c r="C874" s="7" t="b">
        <v>0</v>
      </c>
    </row>
    <row r="875">
      <c r="C875" s="7" t="b">
        <v>0</v>
      </c>
    </row>
    <row r="876">
      <c r="C876" s="7" t="b">
        <v>0</v>
      </c>
    </row>
    <row r="877">
      <c r="C877" s="7" t="b">
        <v>0</v>
      </c>
    </row>
    <row r="878">
      <c r="C878" s="7" t="b">
        <v>0</v>
      </c>
    </row>
    <row r="879">
      <c r="C879" s="7" t="b">
        <v>0</v>
      </c>
    </row>
    <row r="880">
      <c r="C880" s="7" t="b">
        <v>0</v>
      </c>
    </row>
    <row r="881">
      <c r="C881" s="7" t="b">
        <v>0</v>
      </c>
    </row>
    <row r="882">
      <c r="C882" s="7" t="b">
        <v>0</v>
      </c>
    </row>
    <row r="883">
      <c r="C883" s="7" t="b">
        <v>0</v>
      </c>
    </row>
    <row r="884">
      <c r="C884" s="7" t="b">
        <v>0</v>
      </c>
    </row>
    <row r="885">
      <c r="C885" s="7" t="b">
        <v>0</v>
      </c>
    </row>
    <row r="886">
      <c r="C886" s="7" t="b">
        <v>0</v>
      </c>
    </row>
    <row r="887">
      <c r="C887" s="7" t="b">
        <v>0</v>
      </c>
    </row>
    <row r="888">
      <c r="C888" s="7" t="b">
        <v>0</v>
      </c>
    </row>
    <row r="889">
      <c r="C889" s="7" t="b">
        <v>0</v>
      </c>
    </row>
    <row r="890">
      <c r="C890" s="7" t="b">
        <v>0</v>
      </c>
    </row>
    <row r="891">
      <c r="C891" s="7" t="b">
        <v>0</v>
      </c>
    </row>
    <row r="892">
      <c r="C892" s="7" t="b">
        <v>0</v>
      </c>
    </row>
    <row r="893">
      <c r="C893" s="7" t="b">
        <v>0</v>
      </c>
    </row>
    <row r="894">
      <c r="C894" s="7" t="b">
        <v>0</v>
      </c>
    </row>
    <row r="895">
      <c r="C895" s="7" t="b">
        <v>0</v>
      </c>
    </row>
    <row r="896">
      <c r="C896" s="7" t="b">
        <v>0</v>
      </c>
    </row>
    <row r="897">
      <c r="C897" s="7" t="b">
        <v>0</v>
      </c>
    </row>
    <row r="898">
      <c r="C898" s="7" t="b">
        <v>0</v>
      </c>
    </row>
    <row r="899">
      <c r="C899" s="7" t="b">
        <v>0</v>
      </c>
    </row>
    <row r="900">
      <c r="C900" s="7" t="b">
        <v>0</v>
      </c>
    </row>
    <row r="901">
      <c r="C901" s="7" t="b">
        <v>0</v>
      </c>
    </row>
    <row r="902">
      <c r="C902" s="7" t="b">
        <v>0</v>
      </c>
    </row>
    <row r="903">
      <c r="C903" s="7" t="b">
        <v>0</v>
      </c>
    </row>
    <row r="904">
      <c r="C904" s="7" t="b">
        <v>0</v>
      </c>
    </row>
    <row r="905">
      <c r="C905" s="7" t="b">
        <v>0</v>
      </c>
    </row>
    <row r="906">
      <c r="C906" s="7" t="b">
        <v>0</v>
      </c>
    </row>
    <row r="907">
      <c r="C907" s="7" t="b">
        <v>0</v>
      </c>
    </row>
    <row r="908">
      <c r="C908" s="7" t="b">
        <v>0</v>
      </c>
    </row>
    <row r="909">
      <c r="C909" s="7" t="b">
        <v>0</v>
      </c>
    </row>
    <row r="910">
      <c r="C910" s="7" t="b">
        <v>0</v>
      </c>
    </row>
    <row r="911">
      <c r="C911" s="7" t="b">
        <v>0</v>
      </c>
    </row>
    <row r="912">
      <c r="C912" s="7" t="b">
        <v>0</v>
      </c>
    </row>
    <row r="913">
      <c r="C913" s="7" t="b">
        <v>0</v>
      </c>
    </row>
    <row r="914">
      <c r="C914" s="7" t="b">
        <v>0</v>
      </c>
    </row>
    <row r="915">
      <c r="C915" s="7" t="b">
        <v>0</v>
      </c>
    </row>
    <row r="916">
      <c r="C916" s="7" t="b">
        <v>0</v>
      </c>
    </row>
    <row r="917">
      <c r="C917" s="7" t="b">
        <v>0</v>
      </c>
    </row>
    <row r="918">
      <c r="C918" s="7" t="b">
        <v>0</v>
      </c>
    </row>
    <row r="919">
      <c r="C919" s="7" t="b">
        <v>0</v>
      </c>
    </row>
    <row r="920">
      <c r="C920" s="7" t="b">
        <v>0</v>
      </c>
    </row>
    <row r="921">
      <c r="C921" s="7" t="b">
        <v>0</v>
      </c>
    </row>
    <row r="922">
      <c r="C922" s="7" t="b">
        <v>0</v>
      </c>
    </row>
    <row r="923">
      <c r="C923" s="7" t="b">
        <v>0</v>
      </c>
    </row>
    <row r="924">
      <c r="C924" s="7" t="b">
        <v>0</v>
      </c>
    </row>
    <row r="925">
      <c r="C925" s="7" t="b">
        <v>0</v>
      </c>
    </row>
    <row r="926">
      <c r="C926" s="7" t="b">
        <v>0</v>
      </c>
    </row>
    <row r="927">
      <c r="C927" s="7" t="b">
        <v>0</v>
      </c>
    </row>
    <row r="928">
      <c r="C928" s="7" t="b">
        <v>0</v>
      </c>
    </row>
    <row r="929">
      <c r="C929" s="7" t="b">
        <v>0</v>
      </c>
    </row>
    <row r="930">
      <c r="C930" s="7" t="b">
        <v>0</v>
      </c>
    </row>
    <row r="931">
      <c r="C931" s="7" t="b">
        <v>0</v>
      </c>
    </row>
    <row r="932">
      <c r="C932" s="7" t="b">
        <v>0</v>
      </c>
    </row>
    <row r="933">
      <c r="C933" s="7" t="b">
        <v>0</v>
      </c>
    </row>
    <row r="934">
      <c r="C934" s="7" t="b">
        <v>0</v>
      </c>
    </row>
    <row r="935">
      <c r="C935" s="7" t="b">
        <v>0</v>
      </c>
    </row>
    <row r="936">
      <c r="C936" s="7" t="b">
        <v>0</v>
      </c>
    </row>
    <row r="937">
      <c r="C937" s="7" t="b">
        <v>0</v>
      </c>
    </row>
    <row r="938">
      <c r="C938" s="7" t="b">
        <v>0</v>
      </c>
    </row>
    <row r="939">
      <c r="C939" s="7" t="b">
        <v>0</v>
      </c>
    </row>
    <row r="940">
      <c r="C940" s="7" t="b">
        <v>0</v>
      </c>
    </row>
    <row r="941">
      <c r="C941" s="7" t="b">
        <v>0</v>
      </c>
    </row>
    <row r="942">
      <c r="C942" s="7" t="b">
        <v>0</v>
      </c>
    </row>
    <row r="943">
      <c r="C943" s="7" t="b">
        <v>0</v>
      </c>
    </row>
    <row r="944">
      <c r="C944" s="7" t="b">
        <v>0</v>
      </c>
    </row>
    <row r="945">
      <c r="C945" s="7" t="b">
        <v>0</v>
      </c>
    </row>
    <row r="946">
      <c r="C946" s="7" t="b">
        <v>0</v>
      </c>
    </row>
    <row r="947">
      <c r="C947" s="7" t="b">
        <v>0</v>
      </c>
    </row>
    <row r="948">
      <c r="C948" s="7" t="b">
        <v>0</v>
      </c>
    </row>
    <row r="949">
      <c r="C949" s="7" t="b">
        <v>0</v>
      </c>
    </row>
    <row r="950">
      <c r="C950" s="7" t="b">
        <v>0</v>
      </c>
    </row>
    <row r="951">
      <c r="C951" s="7" t="b">
        <v>0</v>
      </c>
    </row>
    <row r="952">
      <c r="C952" s="7" t="b">
        <v>0</v>
      </c>
    </row>
    <row r="953">
      <c r="C953" s="7" t="b">
        <v>0</v>
      </c>
    </row>
    <row r="954">
      <c r="C954" s="7" t="b">
        <v>0</v>
      </c>
    </row>
    <row r="955">
      <c r="C955" s="7" t="b">
        <v>0</v>
      </c>
    </row>
    <row r="956">
      <c r="C956" s="7" t="b">
        <v>0</v>
      </c>
    </row>
    <row r="957">
      <c r="C957" s="7" t="b">
        <v>0</v>
      </c>
    </row>
    <row r="958">
      <c r="C958" s="7" t="b">
        <v>0</v>
      </c>
    </row>
    <row r="959">
      <c r="C959" s="7" t="b">
        <v>0</v>
      </c>
    </row>
    <row r="960">
      <c r="C960" s="7" t="b">
        <v>0</v>
      </c>
    </row>
    <row r="961">
      <c r="C961" s="7" t="b">
        <v>0</v>
      </c>
    </row>
    <row r="962">
      <c r="C962" s="7" t="b">
        <v>0</v>
      </c>
    </row>
    <row r="963">
      <c r="C963" s="7" t="b">
        <v>0</v>
      </c>
    </row>
    <row r="964">
      <c r="C964" s="7" t="b">
        <v>0</v>
      </c>
    </row>
    <row r="965">
      <c r="C965" s="7" t="b">
        <v>0</v>
      </c>
    </row>
    <row r="966">
      <c r="C966" s="7" t="b">
        <v>0</v>
      </c>
    </row>
    <row r="967">
      <c r="C967" s="7" t="b">
        <v>0</v>
      </c>
    </row>
    <row r="968">
      <c r="C968" s="7" t="b">
        <v>0</v>
      </c>
    </row>
    <row r="969">
      <c r="C969" s="7" t="b">
        <v>0</v>
      </c>
    </row>
    <row r="970">
      <c r="C970" s="7" t="b">
        <v>0</v>
      </c>
    </row>
    <row r="971">
      <c r="C971" s="7" t="b">
        <v>0</v>
      </c>
    </row>
    <row r="972">
      <c r="C972" s="7" t="b">
        <v>0</v>
      </c>
    </row>
    <row r="973">
      <c r="C973" s="7" t="b">
        <v>0</v>
      </c>
    </row>
    <row r="974">
      <c r="C974" s="7" t="b">
        <v>0</v>
      </c>
    </row>
    <row r="975">
      <c r="C975" s="7" t="b">
        <v>0</v>
      </c>
    </row>
    <row r="976">
      <c r="C976" s="7" t="b">
        <v>0</v>
      </c>
    </row>
    <row r="977">
      <c r="C977" s="7" t="b">
        <v>0</v>
      </c>
    </row>
    <row r="978">
      <c r="C978" s="7" t="b">
        <v>0</v>
      </c>
    </row>
    <row r="979">
      <c r="C979" s="7" t="b">
        <v>0</v>
      </c>
    </row>
    <row r="980">
      <c r="C980" s="7" t="b">
        <v>0</v>
      </c>
    </row>
    <row r="981">
      <c r="C981" s="7" t="b">
        <v>0</v>
      </c>
    </row>
    <row r="982">
      <c r="C982" s="7" t="b">
        <v>0</v>
      </c>
    </row>
    <row r="983">
      <c r="C983" s="7" t="b">
        <v>0</v>
      </c>
    </row>
    <row r="984">
      <c r="C984" s="7" t="b">
        <v>0</v>
      </c>
    </row>
    <row r="985">
      <c r="C985" s="7" t="b">
        <v>0</v>
      </c>
    </row>
    <row r="986">
      <c r="C986" s="7" t="b">
        <v>0</v>
      </c>
    </row>
    <row r="987">
      <c r="C987" s="7" t="b">
        <v>0</v>
      </c>
    </row>
    <row r="988">
      <c r="C988" s="7" t="b">
        <v>0</v>
      </c>
    </row>
    <row r="989">
      <c r="C989" s="7" t="b">
        <v>0</v>
      </c>
    </row>
    <row r="990">
      <c r="C990" s="7" t="b">
        <v>0</v>
      </c>
    </row>
    <row r="991">
      <c r="C991" s="7" t="b">
        <v>0</v>
      </c>
    </row>
    <row r="992">
      <c r="C992" s="7" t="b">
        <v>0</v>
      </c>
    </row>
    <row r="993">
      <c r="C993" s="7" t="b">
        <v>0</v>
      </c>
    </row>
    <row r="994">
      <c r="C994" s="7" t="b">
        <v>0</v>
      </c>
    </row>
    <row r="995">
      <c r="C995" s="7" t="b">
        <v>0</v>
      </c>
    </row>
    <row r="996">
      <c r="C996" s="7" t="b">
        <v>0</v>
      </c>
    </row>
    <row r="997">
      <c r="C997" s="7" t="b">
        <v>0</v>
      </c>
    </row>
    <row r="998">
      <c r="C998" s="7" t="b">
        <v>0</v>
      </c>
    </row>
    <row r="999">
      <c r="C999" s="7" t="b">
        <v>0</v>
      </c>
    </row>
    <row r="1000">
      <c r="C1000" s="7" t="b">
        <v>0</v>
      </c>
    </row>
    <row r="1001">
      <c r="C1001" s="7" t="b">
        <v>0</v>
      </c>
    </row>
  </sheetData>
  <conditionalFormatting sqref="A2:A1001">
    <cfRule type="expression" priority="1" dxfId="6">
      <formula>=AND($A2&lt;&gt;"",COUNTIF(Protocolos!$A$2:$A$301,$A2)=0)</formula>
    </cfRule>
  </conditionalFormatting>
  <conditionalFormatting sqref="A2:D1001">
    <cfRule type="expression" priority="2" dxfId="10">
      <formula>=$C2=TRUE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5" customWidth="1" min="4" max="4"/>
    <col width="15" customWidth="1" min="5" max="5"/>
  </cols>
  <sheetData>
    <row r="1">
      <c r="B1" s="13" t="inlineStr">
        <is>
          <t>Painel do setor</t>
        </is>
      </c>
    </row>
    <row r="2">
      <c r="B2" s="14" t="inlineStr">
        <is>
          <t>Próximo ID sugerido</t>
        </is>
      </c>
      <c r="C2" s="15">
        <f>TEXT(YEAR(TODAY()),"0000")&amp;"-"&amp;TEXT(COUNTA(Protocolos!$A$2:$A$301)+1,"0000")</f>
        <v/>
      </c>
    </row>
    <row r="4">
      <c r="B4" s="13" t="inlineStr">
        <is>
          <t>Alertas</t>
        </is>
      </c>
    </row>
    <row r="5">
      <c r="B5" s="14" t="inlineStr">
        <is>
          <t>Atrasados</t>
        </is>
      </c>
      <c r="C5" s="16">
        <f>COUNTIF(Protocolos!$Q$2:$Q$301,"Atrasado")</f>
        <v/>
      </c>
    </row>
    <row r="6">
      <c r="B6" s="14" t="inlineStr">
        <is>
          <t>Vencem hoje</t>
        </is>
      </c>
      <c r="C6" s="16">
        <f>COUNTIF(Protocolos!$Q$2:$Q$301,"Vence hoje")</f>
        <v/>
      </c>
    </row>
    <row r="7">
      <c r="B7" s="14" t="inlineStr">
        <is>
          <t>Sem responsável</t>
        </is>
      </c>
      <c r="C7" s="16">
        <f>SUMPRODUCT((Protocolos!$A$2:$A$301&lt;&gt;"")*(Protocolos!$L$2:$L$301=""))</f>
        <v/>
      </c>
    </row>
    <row r="8">
      <c r="B8" s="14" t="inlineStr">
        <is>
          <t>Documentação incompleta</t>
        </is>
      </c>
      <c r="C8" s="16">
        <f>SUMPRODUCT((Protocolos!$A$2:$A$301&lt;&gt;"")*(Protocolos!$M$2:$M$301=FALSE))</f>
        <v/>
      </c>
    </row>
    <row r="9">
      <c r="B9" s="14" t="inlineStr">
        <is>
          <t>Finalizado sem digitalização</t>
        </is>
      </c>
      <c r="C9" s="16">
        <f>SUMPRODUCT((Protocolos!$R$2:$R$301="Finalizado")*(Protocolos!$S$2:$S$301=FALSE))</f>
        <v/>
      </c>
    </row>
    <row r="10">
      <c r="B10" s="14" t="inlineStr">
        <is>
          <t>Sem Nº DRD</t>
        </is>
      </c>
      <c r="C10" s="16">
        <f>SUMPRODUCT((Protocolos!$A$2:$A$301&lt;&gt;"")*(Protocolos!$B$2:$B$301=""))</f>
        <v/>
      </c>
    </row>
    <row r="13">
      <c r="B13" s="13" t="inlineStr">
        <is>
          <t>Por fase (não arquivados)</t>
        </is>
      </c>
    </row>
    <row r="14">
      <c r="B14" s="14" t="inlineStr">
        <is>
          <t>Aguardando documentos p/ análise</t>
        </is>
      </c>
      <c r="C14" s="17">
        <f>SUMPRODUCT((Protocolos!$R$2:$R$301=$B$14)*(Protocolos!$Y$2:$Y$301=FALSE))</f>
        <v/>
      </c>
    </row>
    <row r="15">
      <c r="B15" s="14" t="inlineStr">
        <is>
          <t>Pendência de documentos</t>
        </is>
      </c>
      <c r="C15" s="17">
        <f>SUMPRODUCT((Protocolos!$R$2:$R$301=$B$15)*(Protocolos!$Y$2:$Y$301=FALSE))</f>
        <v/>
      </c>
    </row>
    <row r="16">
      <c r="B16" s="14" t="inlineStr">
        <is>
          <t>Em confecção</t>
        </is>
      </c>
      <c r="C16" s="17">
        <f>SUMPRODUCT((Protocolos!$R$2:$R$301=$B$16)*(Protocolos!$Y$2:$Y$301=FALSE))</f>
        <v/>
      </c>
    </row>
    <row r="17">
      <c r="B17" s="14" t="inlineStr">
        <is>
          <t>Em análise pelo Tabelião</t>
        </is>
      </c>
      <c r="C17" s="17">
        <f>SUMPRODUCT((Protocolos!$R$2:$R$301=$B$17)*(Protocolos!$Y$2:$Y$301=FALSE))</f>
        <v/>
      </c>
    </row>
    <row r="18">
      <c r="B18" s="14" t="inlineStr">
        <is>
          <t>Em conferência pelo usuário</t>
        </is>
      </c>
      <c r="C18" s="17">
        <f>SUMPRODUCT((Protocolos!$R$2:$R$301=$B$18)*(Protocolos!$Y$2:$Y$301=FALSE))</f>
        <v/>
      </c>
    </row>
    <row r="19">
      <c r="B19" s="14" t="inlineStr">
        <is>
          <t>Aguardando assinatura</t>
        </is>
      </c>
      <c r="C19" s="17">
        <f>SUMPRODUCT((Protocolos!$R$2:$R$301=$B$19)*(Protocolos!$Y$2:$Y$301=FALSE))</f>
        <v/>
      </c>
    </row>
    <row r="20">
      <c r="B20" s="14" t="inlineStr">
        <is>
          <t>Finalizado</t>
        </is>
      </c>
      <c r="C20" s="17">
        <f>SUMPRODUCT((Protocolos!$R$2:$R$301=$B$20)*(Protocolos!$Y$2:$Y$301=FALSE))</f>
        <v/>
      </c>
    </row>
    <row r="21">
      <c r="B21" s="14" t="inlineStr">
        <is>
          <t>Usuário desistiu</t>
        </is>
      </c>
      <c r="C21" s="17">
        <f>SUMPRODUCT((Protocolos!$R$2:$R$301=$B$21)*(Protocolos!$Y$2:$Y$301=FALSE))</f>
        <v/>
      </c>
    </row>
    <row r="24">
      <c r="B24" s="13" t="inlineStr">
        <is>
          <t>Por escrevente</t>
        </is>
      </c>
    </row>
    <row r="25">
      <c r="C25" s="18" t="inlineStr">
        <is>
          <t>Em andamento</t>
        </is>
      </c>
      <c r="D25" s="18" t="inlineStr">
        <is>
          <t>Atrasados</t>
        </is>
      </c>
      <c r="E25" s="18" t="inlineStr">
        <is>
          <t>Vencem hoje</t>
        </is>
      </c>
    </row>
    <row r="26">
      <c r="B26" s="14" t="inlineStr">
        <is>
          <t>Escrevente 1</t>
        </is>
      </c>
      <c r="C26" s="17">
        <f>SUMPRODUCT((Protocolos!$A$2:$A$301&lt;&gt;"")*(Protocolos!$L$2:$L$301=$B$26)*(Protocolos!$R$2:$R$301&lt;&gt;"Finalizado")*(Protocolos!$R$2:$R$301&lt;&gt;"Usuário desistiu")*(Protocolos!$Y$2:$Y$301=FALSE))</f>
        <v/>
      </c>
      <c r="D26" s="17">
        <f>SUMPRODUCT((Protocolos!$L$2:$L$301=$B$26)*(Protocolos!$Q$2:$Q$301="Atrasado"))</f>
        <v/>
      </c>
      <c r="E26" s="17">
        <f>SUMPRODUCT((Protocolos!$L$2:$L$301=$B$26)*(Protocolos!$Q$2:$Q$301="Vence hoje"))</f>
        <v/>
      </c>
    </row>
    <row r="27">
      <c r="B27" s="14" t="inlineStr">
        <is>
          <t>Escrevente 2</t>
        </is>
      </c>
      <c r="C27" s="17">
        <f>SUMPRODUCT((Protocolos!$A$2:$A$301&lt;&gt;"")*(Protocolos!$L$2:$L$301=$B$27)*(Protocolos!$R$2:$R$301&lt;&gt;"Finalizado")*(Protocolos!$R$2:$R$301&lt;&gt;"Usuário desistiu")*(Protocolos!$Y$2:$Y$301=FALSE))</f>
        <v/>
      </c>
      <c r="D27" s="17">
        <f>SUMPRODUCT((Protocolos!$L$2:$L$301=$B$27)*(Protocolos!$Q$2:$Q$301="Atrasado"))</f>
        <v/>
      </c>
      <c r="E27" s="17">
        <f>SUMPRODUCT((Protocolos!$L$2:$L$301=$B$27)*(Protocolos!$Q$2:$Q$301="Vence hoje"))</f>
        <v/>
      </c>
    </row>
    <row r="28">
      <c r="B28" s="14" t="inlineStr">
        <is>
          <t>Escrevente 3</t>
        </is>
      </c>
      <c r="C28" s="17">
        <f>SUMPRODUCT((Protocolos!$A$2:$A$301&lt;&gt;"")*(Protocolos!$L$2:$L$301=$B$28)*(Protocolos!$R$2:$R$301&lt;&gt;"Finalizado")*(Protocolos!$R$2:$R$301&lt;&gt;"Usuário desistiu")*(Protocolos!$Y$2:$Y$301=FALSE))</f>
        <v/>
      </c>
      <c r="D28" s="17">
        <f>SUMPRODUCT((Protocolos!$L$2:$L$301=$B$28)*(Protocolos!$Q$2:$Q$301="Atrasado"))</f>
        <v/>
      </c>
      <c r="E28" s="17">
        <f>SUMPRODUCT((Protocolos!$L$2:$L$301=$B$28)*(Protocolos!$Q$2:$Q$301="Vence hoje"))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" customWidth="1" min="3" max="3"/>
    <col width="28" customWidth="1" min="4" max="4"/>
    <col width="34" customWidth="1" min="5" max="5"/>
    <col width="34" customWidth="1" min="6" max="6"/>
    <col width="34" customWidth="1" min="7" max="7"/>
    <col width="3" customWidth="1" min="8" max="8"/>
    <col width="28" customWidth="1" min="9" max="9"/>
    <col width="3" customWidth="1" min="10" max="10"/>
    <col width="28" customWidth="1" min="11" max="11"/>
    <col width="3" customWidth="1" min="12" max="12"/>
    <col width="28" customWidth="1" min="13" max="13"/>
    <col width="3" customWidth="1" min="14" max="14"/>
    <col width="28" customWidth="1" min="15" max="15"/>
    <col width="34" customWidth="1" min="16" max="16"/>
    <col width="3" customWidth="1" min="17" max="17"/>
    <col width="28" customWidth="1" min="18" max="18"/>
    <col width="34" customWidth="1" min="19" max="19"/>
  </cols>
  <sheetData>
    <row r="1" ht="32" customHeight="1">
      <c r="A1" s="5" t="inlineStr">
        <is>
          <t>Tipo de ato</t>
        </is>
      </c>
      <c r="B1" s="5" t="inlineStr">
        <is>
          <t>Categoria</t>
        </is>
      </c>
      <c r="D1" s="5" t="inlineStr">
        <is>
          <t>Fase</t>
        </is>
      </c>
      <c r="E1" s="5" t="inlineStr">
        <is>
          <t>É final?</t>
        </is>
      </c>
      <c r="F1" s="5" t="inlineStr">
        <is>
          <t>Exige digitalização?</t>
        </is>
      </c>
      <c r="G1" s="5" t="inlineStr">
        <is>
          <t>Cor sugerida</t>
        </is>
      </c>
      <c r="I1" s="5" t="inlineStr">
        <is>
          <t>Responsável</t>
        </is>
      </c>
      <c r="K1" s="5" t="inlineStr">
        <is>
          <t>Canal</t>
        </is>
      </c>
      <c r="M1" s="5" t="inlineStr">
        <is>
          <t>Tipo de pessoa</t>
        </is>
      </c>
      <c r="O1" s="5" t="inlineStr">
        <is>
          <t>Feriado</t>
        </is>
      </c>
      <c r="P1" s="5" t="inlineStr">
        <is>
          <t>Descrição</t>
        </is>
      </c>
      <c r="R1" s="5" t="inlineStr">
        <is>
          <t>Tipo (modelo de checklist)</t>
        </is>
      </c>
      <c r="S1" s="5" t="inlineStr">
        <is>
          <t>Documento</t>
        </is>
      </c>
    </row>
    <row r="2">
      <c r="A2" s="14" t="inlineStr">
        <is>
          <t>Procuração Ad Judicia</t>
        </is>
      </c>
      <c r="B2" s="14" t="inlineStr">
        <is>
          <t>Procurações</t>
        </is>
      </c>
      <c r="D2" s="14" t="inlineStr">
        <is>
          <t>Aguardando documentos p/ análise</t>
        </is>
      </c>
      <c r="E2" s="14" t="inlineStr">
        <is>
          <t>Não</t>
        </is>
      </c>
      <c r="F2" s="14" t="inlineStr">
        <is>
          <t>Não</t>
        </is>
      </c>
      <c r="G2" s="14" t="inlineStr">
        <is>
          <t>cinza</t>
        </is>
      </c>
      <c r="I2" s="14" t="inlineStr">
        <is>
          <t>Escrevente 1</t>
        </is>
      </c>
      <c r="K2" s="14" t="inlineStr">
        <is>
          <t>Balcão</t>
        </is>
      </c>
      <c r="M2" s="14" t="inlineStr">
        <is>
          <t>PF</t>
        </is>
      </c>
      <c r="O2" s="19" t="n">
        <v>46023</v>
      </c>
      <c r="P2" s="14" t="inlineStr">
        <is>
          <t>Confraternização Universal</t>
        </is>
      </c>
      <c r="R2" s="14" t="inlineStr">
        <is>
          <t>(todos)</t>
        </is>
      </c>
      <c r="S2" s="14" t="inlineStr">
        <is>
          <t>Documento de identificação com CPF do(s) outorgante(s)</t>
        </is>
      </c>
    </row>
    <row r="3">
      <c r="A3" s="14" t="inlineStr">
        <is>
          <t>Procuração Ad Negotia</t>
        </is>
      </c>
      <c r="B3" s="14" t="inlineStr">
        <is>
          <t>Procurações</t>
        </is>
      </c>
      <c r="D3" s="14" t="inlineStr">
        <is>
          <t>Pendência de documentos</t>
        </is>
      </c>
      <c r="E3" s="14" t="inlineStr">
        <is>
          <t>Não</t>
        </is>
      </c>
      <c r="F3" s="14" t="inlineStr">
        <is>
          <t>Não</t>
        </is>
      </c>
      <c r="G3" s="14" t="inlineStr">
        <is>
          <t>dourado</t>
        </is>
      </c>
      <c r="I3" s="14" t="inlineStr">
        <is>
          <t>Escrevente 2</t>
        </is>
      </c>
      <c r="K3" s="14" t="inlineStr">
        <is>
          <t>WhatsApp</t>
        </is>
      </c>
      <c r="M3" s="14" t="inlineStr">
        <is>
          <t>PJ</t>
        </is>
      </c>
      <c r="O3" s="19" t="n">
        <v>46069</v>
      </c>
      <c r="P3" s="14" t="inlineStr">
        <is>
          <t>Carnaval — segunda (CONFERIR)</t>
        </is>
      </c>
      <c r="R3" s="14" t="inlineStr">
        <is>
          <t>(todos)</t>
        </is>
      </c>
      <c r="S3" s="14" t="inlineStr">
        <is>
          <t>Documento de identificação com CPF do(s) outorgado(s)</t>
        </is>
      </c>
    </row>
    <row r="4">
      <c r="A4" s="14" t="inlineStr">
        <is>
          <t>Procuração para venda de imóvel</t>
        </is>
      </c>
      <c r="B4" s="14" t="inlineStr">
        <is>
          <t>Procurações</t>
        </is>
      </c>
      <c r="D4" s="14" t="inlineStr">
        <is>
          <t>Em confecção</t>
        </is>
      </c>
      <c r="E4" s="14" t="inlineStr">
        <is>
          <t>Não</t>
        </is>
      </c>
      <c r="F4" s="14" t="inlineStr">
        <is>
          <t>Não</t>
        </is>
      </c>
      <c r="G4" s="14" t="inlineStr">
        <is>
          <t>rosa</t>
        </is>
      </c>
      <c r="I4" s="14" t="inlineStr">
        <is>
          <t>Escrevente 3</t>
        </is>
      </c>
      <c r="K4" s="14" t="inlineStr">
        <is>
          <t>E-mail</t>
        </is>
      </c>
      <c r="O4" s="19" t="n">
        <v>46070</v>
      </c>
      <c r="P4" s="14" t="inlineStr">
        <is>
          <t>Carnaval — terça (CONFERIR)</t>
        </is>
      </c>
      <c r="R4" s="14" t="inlineStr">
        <is>
          <t>(todos)</t>
        </is>
      </c>
      <c r="S4" s="14" t="inlineStr">
        <is>
          <t>Qualificação do(s) outorgante(s)</t>
        </is>
      </c>
    </row>
    <row r="5">
      <c r="A5" s="14" t="inlineStr">
        <is>
          <t>Procuração bancária/financeira</t>
        </is>
      </c>
      <c r="B5" s="14" t="inlineStr">
        <is>
          <t>Procurações</t>
        </is>
      </c>
      <c r="D5" s="14" t="inlineStr">
        <is>
          <t>Em análise pelo Tabelião</t>
        </is>
      </c>
      <c r="E5" s="14" t="inlineStr">
        <is>
          <t>Não</t>
        </is>
      </c>
      <c r="F5" s="14" t="inlineStr">
        <is>
          <t>Não</t>
        </is>
      </c>
      <c r="G5" s="14" t="inlineStr">
        <is>
          <t>azul</t>
        </is>
      </c>
      <c r="O5" s="19" t="n">
        <v>46115</v>
      </c>
      <c r="P5" s="14" t="inlineStr">
        <is>
          <t>Sexta-feira Santa (CONFERIR)</t>
        </is>
      </c>
      <c r="R5" s="14" t="inlineStr">
        <is>
          <t>(todos)</t>
        </is>
      </c>
      <c r="S5" s="14" t="inlineStr">
        <is>
          <t>Qualificação do(s) outorgado(s)</t>
        </is>
      </c>
    </row>
    <row r="6">
      <c r="A6" s="14" t="inlineStr">
        <is>
          <t>Escritura de Compra e Venda</t>
        </is>
      </c>
      <c r="B6" s="14" t="inlineStr">
        <is>
          <t>Escrituras</t>
        </is>
      </c>
      <c r="D6" s="14" t="inlineStr">
        <is>
          <t>Em conferência pelo usuário</t>
        </is>
      </c>
      <c r="E6" s="14" t="inlineStr">
        <is>
          <t>Não</t>
        </is>
      </c>
      <c r="F6" s="14" t="inlineStr">
        <is>
          <t>Não</t>
        </is>
      </c>
      <c r="G6" s="14" t="inlineStr">
        <is>
          <t>verde-água</t>
        </is>
      </c>
      <c r="O6" s="19" t="n">
        <v>46133</v>
      </c>
      <c r="P6" s="14" t="inlineStr">
        <is>
          <t>Tiradentes</t>
        </is>
      </c>
    </row>
    <row r="7">
      <c r="A7" s="14" t="inlineStr">
        <is>
          <t>Escritura de Doação</t>
        </is>
      </c>
      <c r="B7" s="14" t="inlineStr">
        <is>
          <t>Escrituras</t>
        </is>
      </c>
      <c r="D7" s="14" t="inlineStr">
        <is>
          <t>Aguardando assinatura</t>
        </is>
      </c>
      <c r="E7" s="14" t="inlineStr">
        <is>
          <t>Não</t>
        </is>
      </c>
      <c r="F7" s="14" t="inlineStr">
        <is>
          <t>Não</t>
        </is>
      </c>
      <c r="G7" s="14" t="inlineStr">
        <is>
          <t>ameixa</t>
        </is>
      </c>
      <c r="O7" s="19" t="n">
        <v>46143</v>
      </c>
      <c r="P7" s="14" t="inlineStr">
        <is>
          <t>Dia do Trabalho</t>
        </is>
      </c>
    </row>
    <row r="8">
      <c r="A8" s="14" t="inlineStr">
        <is>
          <t>Escritura de Inventário e Partilha</t>
        </is>
      </c>
      <c r="B8" s="14" t="inlineStr">
        <is>
          <t>Escrituras</t>
        </is>
      </c>
      <c r="D8" s="14" t="inlineStr">
        <is>
          <t>Finalizado</t>
        </is>
      </c>
      <c r="E8" s="14" t="inlineStr">
        <is>
          <t>Sim</t>
        </is>
      </c>
      <c r="F8" s="14" t="inlineStr">
        <is>
          <t>Sim</t>
        </is>
      </c>
      <c r="G8" s="14" t="inlineStr">
        <is>
          <t>verde</t>
        </is>
      </c>
      <c r="O8" s="19" t="n">
        <v>46177</v>
      </c>
      <c r="P8" s="14" t="inlineStr">
        <is>
          <t>Corpus Christi (CONFERIR)</t>
        </is>
      </c>
    </row>
    <row r="9">
      <c r="A9" s="14" t="inlineStr">
        <is>
          <t>Escritura de União Estável</t>
        </is>
      </c>
      <c r="B9" s="14" t="inlineStr">
        <is>
          <t>Escrituras</t>
        </is>
      </c>
      <c r="D9" s="14" t="inlineStr">
        <is>
          <t>Usuário desistiu</t>
        </is>
      </c>
      <c r="E9" s="14" t="inlineStr">
        <is>
          <t>Sim</t>
        </is>
      </c>
      <c r="F9" s="14" t="inlineStr">
        <is>
          <t>Não</t>
        </is>
      </c>
      <c r="G9" s="14" t="inlineStr">
        <is>
          <t>escuro</t>
        </is>
      </c>
      <c r="O9" s="19" t="n">
        <v>46272</v>
      </c>
      <c r="P9" s="14" t="inlineStr">
        <is>
          <t>Independência do Brasil</t>
        </is>
      </c>
    </row>
    <row r="10">
      <c r="A10" s="14" t="inlineStr">
        <is>
          <t>Escritura de Divórcio Consensual</t>
        </is>
      </c>
      <c r="B10" s="14" t="inlineStr">
        <is>
          <t>Escrituras</t>
        </is>
      </c>
      <c r="O10" s="19" t="n">
        <v>46307</v>
      </c>
      <c r="P10" s="14" t="inlineStr">
        <is>
          <t>Nossa Senhora Aparecida</t>
        </is>
      </c>
    </row>
    <row r="11">
      <c r="A11" s="14" t="inlineStr">
        <is>
          <t>Escritura Declaratória</t>
        </is>
      </c>
      <c r="B11" s="14" t="inlineStr">
        <is>
          <t>Escrituras</t>
        </is>
      </c>
      <c r="O11" s="19" t="n">
        <v>46328</v>
      </c>
      <c r="P11" s="14" t="inlineStr">
        <is>
          <t>Finados</t>
        </is>
      </c>
    </row>
    <row r="12">
      <c r="O12" s="19" t="n">
        <v>46341</v>
      </c>
      <c r="P12" s="14" t="inlineStr">
        <is>
          <t>Proclamação da República</t>
        </is>
      </c>
    </row>
    <row r="13">
      <c r="O13" s="19" t="n">
        <v>46346</v>
      </c>
      <c r="P13" s="14" t="inlineStr">
        <is>
          <t>Consciência Negra</t>
        </is>
      </c>
    </row>
    <row r="14">
      <c r="O14" s="19" t="n">
        <v>46381</v>
      </c>
      <c r="P14" s="14" t="inlineStr">
        <is>
          <t>Natal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2026-08-04T00:32:14Z</dcterms:created>
  <dcterms:modified xsi:type="dcterms:W3CDTF">2026-08-04T00:32:14Z</dcterms:modified>
</cp:coreProperties>
</file>